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activeX/activeX7.xml" ContentType="application/vnd.ms-office.activeX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activeX/activeX8.xml" ContentType="application/vnd.ms-office.activeX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activeX/activeX9.xml" ContentType="application/vnd.ms-office.activeX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0.xml" ContentType="application/vnd.openxmlformats-officedocument.drawing+xml"/>
  <Override PartName="/xl/activeX/activeX10.xml" ContentType="application/vnd.ms-office.activeX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1.xml" ContentType="application/vnd.openxmlformats-officedocument.drawing+xml"/>
  <Override PartName="/xl/activeX/activeX11.xml" ContentType="application/vnd.ms-office.activeX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activeX/activeX12.xml" ContentType="application/vnd.ms-office.activeX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3.xml" ContentType="application/vnd.openxmlformats-officedocument.drawing+xml"/>
  <Override PartName="/xl/activeX/activeX13.xml" ContentType="application/vnd.ms-office.activeX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4.xml" ContentType="application/vnd.openxmlformats-officedocument.drawing+xml"/>
  <Override PartName="/xl/activeX/activeX14.xml" ContentType="application/vnd.ms-office.activeX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5.xml" ContentType="application/vnd.openxmlformats-officedocument.drawing+xml"/>
  <Override PartName="/xl/activeX/activeX15.xml" ContentType="application/vnd.ms-office.activeX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6.xml" ContentType="application/vnd.openxmlformats-officedocument.drawing+xml"/>
  <Override PartName="/xl/activeX/activeX16.xml" ContentType="application/vnd.ms-office.activeX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7.xml" ContentType="application/vnd.openxmlformats-officedocument.drawing+xml"/>
  <Override PartName="/xl/activeX/activeX17.xml" ContentType="application/vnd.ms-office.activeX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8.xml" ContentType="application/vnd.openxmlformats-officedocument.drawing+xml"/>
  <Override PartName="/xl/activeX/activeX18.xml" ContentType="application/vnd.ms-office.activeX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9.xml" ContentType="application/vnd.openxmlformats-officedocument.drawing+xml"/>
  <Override PartName="/xl/activeX/activeX19.xml" ContentType="application/vnd.ms-office.activeX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0.xml" ContentType="application/vnd.openxmlformats-officedocument.drawing+xml"/>
  <Override PartName="/xl/activeX/activeX20.xml" ContentType="application/vnd.ms-office.activeX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1.xml" ContentType="application/vnd.openxmlformats-officedocument.drawing+xml"/>
  <Override PartName="/xl/activeX/activeX21.xml" ContentType="application/vnd.ms-office.activeX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activeX/activeX22.xml" ContentType="application/vnd.ms-office.activeX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3.xml" ContentType="application/vnd.openxmlformats-officedocument.drawing+xml"/>
  <Override PartName="/xl/activeX/activeX23.xml" ContentType="application/vnd.ms-office.activeX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4.xml" ContentType="application/vnd.openxmlformats-officedocument.drawing+xml"/>
  <Override PartName="/xl/activeX/activeX24.xml" ContentType="application/vnd.ms-office.activeX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5.xml" ContentType="application/vnd.openxmlformats-officedocument.drawing+xml"/>
  <Override PartName="/xl/activeX/activeX25.xml" ContentType="application/vnd.ms-office.activeX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6.xml" ContentType="application/vnd.openxmlformats-officedocument.drawing+xml"/>
  <Override PartName="/xl/activeX/activeX26.xml" ContentType="application/vnd.ms-office.activeX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7.xml" ContentType="application/vnd.openxmlformats-officedocument.drawing+xml"/>
  <Override PartName="/xl/activeX/activeX27.xml" ContentType="application/vnd.ms-office.activeX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28.xml" ContentType="application/vnd.openxmlformats-officedocument.drawing+xml"/>
  <Override PartName="/xl/activeX/activeX28.xml" ContentType="application/vnd.ms-office.activeX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9.xml" ContentType="application/vnd.openxmlformats-officedocument.drawing+xml"/>
  <Override PartName="/xl/activeX/activeX29.xml" ContentType="application/vnd.ms-office.activeX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0.xml" ContentType="application/vnd.openxmlformats-officedocument.drawing+xml"/>
  <Override PartName="/xl/activeX/activeX30.xml" ContentType="application/vnd.ms-office.activeX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1.xml" ContentType="application/vnd.openxmlformats-officedocument.drawing+xml"/>
  <Override PartName="/xl/activeX/activeX31.xml" ContentType="application/vnd.ms-office.activeX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2.xml" ContentType="application/vnd.openxmlformats-officedocument.drawing+xml"/>
  <Override PartName="/xl/activeX/activeX32.xml" ContentType="application/vnd.ms-office.activeX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3.xml" ContentType="application/vnd.openxmlformats-officedocument.drawing+xml"/>
  <Override PartName="/xl/activeX/activeX33.xml" ContentType="application/vnd.ms-office.activeX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4.xml" ContentType="application/vnd.openxmlformats-officedocument.drawing+xml"/>
  <Override PartName="/xl/activeX/activeX34.xml" ContentType="application/vnd.ms-office.activeX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5.xml" ContentType="application/vnd.openxmlformats-officedocument.drawing+xml"/>
  <Override PartName="/xl/activeX/activeX35.xml" ContentType="application/vnd.ms-office.activeX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6.xml" ContentType="application/vnd.openxmlformats-officedocument.drawing+xml"/>
  <Override PartName="/xl/activeX/activeX36.xml" ContentType="application/vnd.ms-office.activeX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7.xml" ContentType="application/vnd.openxmlformats-officedocument.drawing+xml"/>
  <Override PartName="/xl/activeX/activeX37.xml" ContentType="application/vnd.ms-office.activeX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8.xml" ContentType="application/vnd.openxmlformats-officedocument.drawing+xml"/>
  <Override PartName="/xl/activeX/activeX38.xml" ContentType="application/vnd.ms-office.activeX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39.xml" ContentType="application/vnd.openxmlformats-officedocument.drawing+xml"/>
  <Override PartName="/xl/activeX/activeX39.xml" ContentType="application/vnd.ms-office.activeX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0.xml" ContentType="application/vnd.openxmlformats-officedocument.drawing+xml"/>
  <Override PartName="/xl/activeX/activeX40.xml" ContentType="application/vnd.ms-office.activeX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1.xml" ContentType="application/vnd.openxmlformats-officedocument.drawing+xml"/>
  <Override PartName="/xl/activeX/activeX41.xml" ContentType="application/vnd.ms-office.activeX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2.xml" ContentType="application/vnd.openxmlformats-officedocument.drawing+xml"/>
  <Override PartName="/xl/activeX/activeX42.xml" ContentType="application/vnd.ms-office.activeX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3.xml" ContentType="application/vnd.openxmlformats-officedocument.drawing+xml"/>
  <Override PartName="/xl/activeX/activeX43.xml" ContentType="application/vnd.ms-office.activeX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4.xml" ContentType="application/vnd.openxmlformats-officedocument.drawing+xml"/>
  <Override PartName="/xl/activeX/activeX44.xml" ContentType="application/vnd.ms-office.activeX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5.xml" ContentType="application/vnd.openxmlformats-officedocument.drawing+xml"/>
  <Override PartName="/xl/activeX/activeX45.xml" ContentType="application/vnd.ms-office.activeX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6.xml" ContentType="application/vnd.openxmlformats-officedocument.drawing+xml"/>
  <Override PartName="/xl/activeX/activeX46.xml" ContentType="application/vnd.ms-office.activeX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7.xml" ContentType="application/vnd.openxmlformats-officedocument.drawing+xml"/>
  <Override PartName="/xl/activeX/activeX47.xml" ContentType="application/vnd.ms-office.activeX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48.xml" ContentType="application/vnd.openxmlformats-officedocument.drawing+xml"/>
  <Override PartName="/xl/activeX/activeX48.xml" ContentType="application/vnd.ms-office.activeX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49.xml" ContentType="application/vnd.openxmlformats-officedocument.drawing+xml"/>
  <Override PartName="/xl/activeX/activeX49.xml" ContentType="application/vnd.ms-office.activeX+xml"/>
  <Override PartName="/xl/ctrlProps/ctrlProp95.xml" ContentType="application/vnd.ms-excel.controlproperties+xml"/>
  <Override PartName="/xl/ctrlProps/ctrlProp9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tabRatio="922"/>
  </bookViews>
  <sheets>
    <sheet name="Начало" sheetId="5" r:id="rId1"/>
    <sheet name="Вопрос 1" sheetId="1" state="hidden" r:id="rId2"/>
    <sheet name="Вопрос 2" sheetId="2" state="hidden" r:id="rId3"/>
    <sheet name="Вопрос 3" sheetId="41" state="hidden" r:id="rId4"/>
    <sheet name="Вопрос 4" sheetId="52" state="hidden" r:id="rId5"/>
    <sheet name="Вопрос 5" sheetId="48" state="hidden" r:id="rId6"/>
    <sheet name="Вопрос 6" sheetId="53" state="hidden" r:id="rId7"/>
    <sheet name="Вопрос 7" sheetId="51" state="hidden" r:id="rId8"/>
    <sheet name="Вопрос 8" sheetId="50" state="hidden" r:id="rId9"/>
    <sheet name="Вопрос 9" sheetId="49" state="hidden" r:id="rId10"/>
    <sheet name="Вопрос 10" sheetId="47" state="hidden" r:id="rId11"/>
    <sheet name="Вопрос 11" sheetId="43" state="hidden" r:id="rId12"/>
    <sheet name="Вопрос 12" sheetId="44" state="hidden" r:id="rId13"/>
    <sheet name="Вопрос 13" sheetId="46" state="hidden" r:id="rId14"/>
    <sheet name="Вопрос 14" sheetId="45" state="hidden" r:id="rId15"/>
    <sheet name="Вопрос 15" sheetId="38" state="hidden" r:id="rId16"/>
    <sheet name="Вопрос 16" sheetId="39" state="hidden" r:id="rId17"/>
    <sheet name="Вопрос 17" sheetId="42" state="hidden" r:id="rId18"/>
    <sheet name="Вопрос 18" sheetId="40" state="hidden" r:id="rId19"/>
    <sheet name="Вопрос 19" sheetId="13" state="hidden" r:id="rId20"/>
    <sheet name="Вопрос 20" sheetId="37" state="hidden" r:id="rId21"/>
    <sheet name="Вопрос 21" sheetId="35" state="hidden" r:id="rId22"/>
    <sheet name="Вопрос 22" sheetId="34" state="hidden" r:id="rId23"/>
    <sheet name="Вопрос 23" sheetId="36" state="hidden" r:id="rId24"/>
    <sheet name="Вопрос 24" sheetId="33" state="hidden" r:id="rId25"/>
    <sheet name="Вопрос 25" sheetId="29" state="hidden" r:id="rId26"/>
    <sheet name="Вопрос 26" sheetId="31" state="hidden" r:id="rId27"/>
    <sheet name="Вопрос 27" sheetId="32" state="hidden" r:id="rId28"/>
    <sheet name="Вопрос 28" sheetId="18" state="hidden" r:id="rId29"/>
    <sheet name="Вопрос 29" sheetId="28" state="hidden" r:id="rId30"/>
    <sheet name="Вопрос 30" sheetId="30" state="hidden" r:id="rId31"/>
    <sheet name="Вопрос 31" sheetId="27" state="hidden" r:id="rId32"/>
    <sheet name="Вопрос 32" sheetId="10" state="hidden" r:id="rId33"/>
    <sheet name="Вопрос 33" sheetId="26" state="hidden" r:id="rId34"/>
    <sheet name="Вопрос 34" sheetId="25" state="hidden" r:id="rId35"/>
    <sheet name="Вопрос 35" sheetId="24" state="hidden" r:id="rId36"/>
    <sheet name="Вопрос 36" sheetId="23" state="hidden" r:id="rId37"/>
    <sheet name="Вопрос 37" sheetId="22" state="hidden" r:id="rId38"/>
    <sheet name="Вопрос 38" sheetId="21" state="hidden" r:id="rId39"/>
    <sheet name="Вопрос 39" sheetId="20" state="hidden" r:id="rId40"/>
    <sheet name="Вопрос 40" sheetId="19" state="hidden" r:id="rId41"/>
    <sheet name="Вопрос 41" sheetId="11" state="hidden" r:id="rId42"/>
    <sheet name="Вопрос 42" sheetId="17" state="hidden" r:id="rId43"/>
    <sheet name="Вопрос 43" sheetId="16" state="hidden" r:id="rId44"/>
    <sheet name="Вопрос 44" sheetId="15" state="hidden" r:id="rId45"/>
    <sheet name="Вопрос 45" sheetId="14" state="hidden" r:id="rId46"/>
    <sheet name="Вопрос 46" sheetId="12" state="hidden" r:id="rId47"/>
    <sheet name="Вопрос 47" sheetId="54" state="hidden" r:id="rId48"/>
    <sheet name="Вопрос 48" sheetId="3" state="hidden" r:id="rId49"/>
    <sheet name="Результаты" sheetId="4" r:id="rId50"/>
  </sheets>
  <calcPr calcId="152511"/>
</workbook>
</file>

<file path=xl/calcChain.xml><?xml version="1.0" encoding="utf-8"?>
<calcChain xmlns="http://schemas.openxmlformats.org/spreadsheetml/2006/main">
  <c r="C62" i="4" l="1"/>
  <c r="D62" i="4" s="1"/>
  <c r="C61" i="4"/>
  <c r="D61" i="4" s="1"/>
  <c r="C60" i="4"/>
  <c r="D60" i="4" s="1"/>
  <c r="C59" i="4"/>
  <c r="D59" i="4" s="1"/>
  <c r="C58" i="4"/>
  <c r="D58" i="4" s="1"/>
  <c r="C57" i="4"/>
  <c r="D57" i="4" s="1"/>
  <c r="C56" i="4"/>
  <c r="D56" i="4" s="1"/>
  <c r="C55" i="4"/>
  <c r="D55" i="4" s="1"/>
  <c r="C54" i="4"/>
  <c r="D54" i="4" s="1"/>
  <c r="C53" i="4"/>
  <c r="D53" i="4" s="1"/>
  <c r="C52" i="4"/>
  <c r="D52" i="4" s="1"/>
  <c r="C51" i="4"/>
  <c r="D51" i="4" s="1"/>
  <c r="C50" i="4"/>
  <c r="D50" i="4" s="1"/>
  <c r="C49" i="4"/>
  <c r="D49" i="4" s="1"/>
  <c r="C48" i="4"/>
  <c r="D48" i="4" s="1"/>
  <c r="C47" i="4"/>
  <c r="D47" i="4" s="1"/>
  <c r="C46" i="4"/>
  <c r="D46" i="4" s="1"/>
  <c r="C45" i="4"/>
  <c r="D45" i="4" s="1"/>
  <c r="C44" i="4"/>
  <c r="D44" i="4" s="1"/>
  <c r="C43" i="4"/>
  <c r="D43" i="4" s="1"/>
  <c r="C42" i="4"/>
  <c r="D42" i="4" s="1"/>
  <c r="C41" i="4"/>
  <c r="D41" i="4" s="1"/>
  <c r="C40" i="4"/>
  <c r="D40" i="4" s="1"/>
  <c r="C39" i="4"/>
  <c r="D39" i="4" s="1"/>
  <c r="C38" i="4"/>
  <c r="D38" i="4" s="1"/>
  <c r="C37" i="4"/>
  <c r="D37" i="4" s="1"/>
  <c r="C36" i="4"/>
  <c r="D36" i="4" s="1"/>
  <c r="C33" i="4"/>
  <c r="D33" i="4" s="1"/>
  <c r="C34" i="4"/>
  <c r="D34" i="4" s="1"/>
  <c r="C35" i="4"/>
  <c r="D35" i="4" s="1"/>
  <c r="C32" i="4"/>
  <c r="D32" i="4" s="1"/>
  <c r="C31" i="4"/>
  <c r="D31" i="4" s="1"/>
  <c r="C30" i="4"/>
  <c r="D30" i="4" s="1"/>
  <c r="C29" i="4"/>
  <c r="D29" i="4" s="1"/>
  <c r="C28" i="4"/>
  <c r="D28" i="4" s="1"/>
  <c r="C27" i="4"/>
  <c r="D27" i="4" s="1"/>
  <c r="C26" i="4"/>
  <c r="D26" i="4" s="1"/>
  <c r="C25" i="4"/>
  <c r="D25" i="4" s="1"/>
  <c r="C24" i="4"/>
  <c r="D24" i="4" s="1"/>
  <c r="C15" i="4"/>
  <c r="D15" i="4" s="1"/>
  <c r="C23" i="4"/>
  <c r="D23" i="4" s="1"/>
  <c r="C22" i="4"/>
  <c r="D22" i="4" s="1"/>
  <c r="C21" i="4"/>
  <c r="D21" i="4" s="1"/>
  <c r="C20" i="4"/>
  <c r="D20" i="4" s="1"/>
  <c r="C19" i="4"/>
  <c r="D19" i="4" s="1"/>
  <c r="C18" i="4"/>
  <c r="D18" i="4" s="1"/>
  <c r="C17" i="4"/>
  <c r="D17" i="4" s="1"/>
  <c r="C16" i="4"/>
  <c r="D16" i="4" s="1"/>
  <c r="H15" i="4" l="1"/>
  <c r="G15" i="4"/>
  <c r="F15" i="4"/>
  <c r="I15" i="4" l="1"/>
  <c r="H5" i="4" s="1"/>
  <c r="G5" i="4" l="1"/>
  <c r="F5" i="4"/>
</calcChain>
</file>

<file path=xl/sharedStrings.xml><?xml version="1.0" encoding="utf-8"?>
<sst xmlns="http://schemas.openxmlformats.org/spreadsheetml/2006/main" count="109" uniqueCount="109">
  <si>
    <t>Вопрос 1</t>
  </si>
  <si>
    <t>Я люблю наблюдать за облаками и звездами</t>
  </si>
  <si>
    <t>Вопрос 2</t>
  </si>
  <si>
    <t>Часто я напеваю себе потихоньку</t>
  </si>
  <si>
    <t>Вопрос 3</t>
  </si>
  <si>
    <t>Поздравляю, вы прошли тест!</t>
  </si>
  <si>
    <t>номер вопроса</t>
  </si>
  <si>
    <t>правильный ответ</t>
  </si>
  <si>
    <t>выбор ученика</t>
  </si>
  <si>
    <t>итог</t>
  </si>
  <si>
    <t>Не признаю моду, которая мне неудобна</t>
  </si>
  <si>
    <t>Я люблю ходить в сауну</t>
  </si>
  <si>
    <t>Вопрос 4</t>
  </si>
  <si>
    <t>Вопрос 5</t>
  </si>
  <si>
    <t>В автомобиле цвет для меня не имеет значение</t>
  </si>
  <si>
    <t>Вопрос 6</t>
  </si>
  <si>
    <t>Я узнаю по шагам, кто вошел в помещение</t>
  </si>
  <si>
    <t>Вопрос 7</t>
  </si>
  <si>
    <t>Меня развлекает подражение диалектам</t>
  </si>
  <si>
    <t>Вопрос 8</t>
  </si>
  <si>
    <t xml:space="preserve">Внешнему виду придаю серьезное значение </t>
  </si>
  <si>
    <t>Вопрос 9</t>
  </si>
  <si>
    <t>Мне нравится принимать массаж</t>
  </si>
  <si>
    <t>Вопрос 10</t>
  </si>
  <si>
    <t>Когда есть время, люблю наблюдать за людьми</t>
  </si>
  <si>
    <t>Вопрос 11</t>
  </si>
  <si>
    <t>Вопрос 12</t>
  </si>
  <si>
    <t>Плохо себя чувствую, когда мне не наслаждаюсь движением</t>
  </si>
  <si>
    <t>Видя одежду в витрине, знаю, что мне будет в ней хорошо</t>
  </si>
  <si>
    <t>Вопрос 13</t>
  </si>
  <si>
    <t>Когда услышу старую мелодию, ко мне возвращается прошлое</t>
  </si>
  <si>
    <t>Вопрос 14</t>
  </si>
  <si>
    <t>Люблю читать во время еды</t>
  </si>
  <si>
    <t>Вопрос 15</t>
  </si>
  <si>
    <t>Люблю поговорить по телефону</t>
  </si>
  <si>
    <t>Вопрос 16</t>
  </si>
  <si>
    <t>У меня есть склонность к полноте</t>
  </si>
  <si>
    <t>Вопрос 17</t>
  </si>
  <si>
    <t>Предпочитаю слушать рассказ, который кто-то читает, чем читать самому</t>
  </si>
  <si>
    <t>Вопрос 18</t>
  </si>
  <si>
    <t>После плохого дня мой организм в напряжении</t>
  </si>
  <si>
    <t>Вопрос 19</t>
  </si>
  <si>
    <t>Охотно и много фотографирую</t>
  </si>
  <si>
    <t>Вопрос 20</t>
  </si>
  <si>
    <t>Долго помню, что мне сказали приятели</t>
  </si>
  <si>
    <t>Вопрос 21</t>
  </si>
  <si>
    <t>Легко могу отдать деньги за цветы, потому что они украшают жизнь</t>
  </si>
  <si>
    <t>Вопрос 22</t>
  </si>
  <si>
    <t>Вечером люблю принять горячую ванну</t>
  </si>
  <si>
    <t>Вопрос 23</t>
  </si>
  <si>
    <t>Стараюсь записывать свои личные дела</t>
  </si>
  <si>
    <t>Вопрос 24</t>
  </si>
  <si>
    <t>Чсасто разговариваю с собой</t>
  </si>
  <si>
    <t>Вопрос 25</t>
  </si>
  <si>
    <t>После долгой езды на машине долго прихожу в себя</t>
  </si>
  <si>
    <t>Вопрос 26</t>
  </si>
  <si>
    <t>Тембр голоса многое говорит о человеке</t>
  </si>
  <si>
    <t>Вопрос 27</t>
  </si>
  <si>
    <t>Придаю значение манере одеваться, свойственно другим</t>
  </si>
  <si>
    <t>Вопрос 28</t>
  </si>
  <si>
    <t>Люблю потягиваться, расправлять конечности, разминаться</t>
  </si>
  <si>
    <t>Вопрос 29</t>
  </si>
  <si>
    <t>Вопрос 30</t>
  </si>
  <si>
    <t>Слишком твердая или слишком мягкая постель для меня мука</t>
  </si>
  <si>
    <t>Мне нелегко найти удобную обувь</t>
  </si>
  <si>
    <t>Вопрос 31</t>
  </si>
  <si>
    <t>Люблю смотреть теле- и видеофильмы</t>
  </si>
  <si>
    <t>Вопрос 32</t>
  </si>
  <si>
    <t>Даже спустя годы могу узнать лица, которые видел когда-то</t>
  </si>
  <si>
    <t>Вопрос 33</t>
  </si>
  <si>
    <t>Люблю ходить под дождем, когда капли стучат по зонтику</t>
  </si>
  <si>
    <t>Вопрос 34</t>
  </si>
  <si>
    <t>Люблю слушать, когда говорят</t>
  </si>
  <si>
    <t>Вопрос 35</t>
  </si>
  <si>
    <t>Люблю заниматься спортом, танцевать, выполнять упражнения</t>
  </si>
  <si>
    <t>Вопрос 36</t>
  </si>
  <si>
    <t>Если близко тикает будильник, не могу уснуть</t>
  </si>
  <si>
    <t>Вопрос 37</t>
  </si>
  <si>
    <t>У меня неплохая стуреоаппаратура</t>
  </si>
  <si>
    <t>Когда слушаю музыку, отбиваю такт ногой</t>
  </si>
  <si>
    <t>Вопрос 38</t>
  </si>
  <si>
    <t>Вопрос 39</t>
  </si>
  <si>
    <t>На отдыхе не люблю осматривать памятники архитектуры</t>
  </si>
  <si>
    <t>Вопрос 40</t>
  </si>
  <si>
    <t>Не выношу беспорядок</t>
  </si>
  <si>
    <t>Вопрос 41</t>
  </si>
  <si>
    <t>Не люблю синтетических тканей</t>
  </si>
  <si>
    <t>Вопрос 42</t>
  </si>
  <si>
    <t>Считаю, что атмосфера в помещении зависит от освещения</t>
  </si>
  <si>
    <t>Вопрос 43</t>
  </si>
  <si>
    <t>Часто хожу на концерты</t>
  </si>
  <si>
    <t>Вопрос 44</t>
  </si>
  <si>
    <t>Пожатие руки много говорит мне о данной личности</t>
  </si>
  <si>
    <t>Вопрос 45</t>
  </si>
  <si>
    <t>Имею желание посещать галереи и выставки</t>
  </si>
  <si>
    <t>Вопрос 46</t>
  </si>
  <si>
    <t>Серьезная дискуссия - это интересно</t>
  </si>
  <si>
    <t>Вопрос 47</t>
  </si>
  <si>
    <t>Прикоснувшись, можно сказать значительно больше, чем словами</t>
  </si>
  <si>
    <t>Вопрос 48</t>
  </si>
  <si>
    <t>В шуме не могу сосредоточиться</t>
  </si>
  <si>
    <t>Визуальный канал</t>
  </si>
  <si>
    <t>Аудиальный канал</t>
  </si>
  <si>
    <t>Кинестетический канал</t>
  </si>
  <si>
    <t>Количество набранных баллов по трем направлениям</t>
  </si>
  <si>
    <t>Сумма баллов</t>
  </si>
  <si>
    <t>Здраствуйте, перед вами методика определения ведущей перцептивной модальности, разработанная С. Ефремцевой. Данная методика предназначена для определения ведущей репрезентативной системы: визуальной (зрительное восприятие), аудиальной (слухоевое восприятие), кинестетической (тактильное восприятие).</t>
  </si>
  <si>
    <t>Инструкция к тесту:                                                                         прочитайте утверждения. Выберите нужный вариант ответа, если Вы согласны - "Да", если не согласны - "Нет".</t>
  </si>
  <si>
    <t xml:space="preserve">Мы определили Ваш тип восприятия информации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</si>
</sst>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3" fillId="0" borderId="0" xfId="0" applyFont="1"/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6" fillId="0" borderId="11" xfId="0" applyFont="1" applyBorder="1"/>
    <xf numFmtId="0" fontId="6" fillId="0" borderId="7" xfId="0" applyFont="1" applyBorder="1"/>
    <xf numFmtId="0" fontId="6" fillId="0" borderId="12" xfId="0" applyFont="1" applyBorder="1"/>
    <xf numFmtId="0" fontId="6" fillId="0" borderId="0" xfId="0" applyFont="1"/>
    <xf numFmtId="0" fontId="6" fillId="0" borderId="7" xfId="0" quotePrefix="1" applyFont="1" applyBorder="1"/>
    <xf numFmtId="0" fontId="0" fillId="0" borderId="0" xfId="0" applyFont="1"/>
    <xf numFmtId="0" fontId="7" fillId="0" borderId="0" xfId="0" applyFont="1"/>
    <xf numFmtId="0" fontId="8" fillId="0" borderId="0" xfId="0" applyFont="1"/>
    <xf numFmtId="0" fontId="7" fillId="0" borderId="11" xfId="0" applyFont="1" applyBorder="1"/>
    <xf numFmtId="0" fontId="7" fillId="0" borderId="7" xfId="0" applyFont="1" applyBorder="1"/>
    <xf numFmtId="0" fontId="7" fillId="0" borderId="7" xfId="0" quotePrefix="1" applyFont="1" applyBorder="1"/>
    <xf numFmtId="0" fontId="7" fillId="0" borderId="12" xfId="0" applyFont="1" applyBorder="1"/>
    <xf numFmtId="0" fontId="7" fillId="0" borderId="13" xfId="0" applyFont="1" applyBorder="1"/>
    <xf numFmtId="0" fontId="7" fillId="0" borderId="14" xfId="0" applyFont="1" applyBorder="1"/>
    <xf numFmtId="0" fontId="8" fillId="0" borderId="11" xfId="0" applyFont="1" applyBorder="1"/>
    <xf numFmtId="0" fontId="8" fillId="0" borderId="7" xfId="0" applyFont="1" applyBorder="1"/>
    <xf numFmtId="0" fontId="8" fillId="0" borderId="12" xfId="0" applyFont="1" applyBorder="1"/>
    <xf numFmtId="0" fontId="7" fillId="0" borderId="16" xfId="0" applyFont="1" applyBorder="1"/>
    <xf numFmtId="0" fontId="8" fillId="0" borderId="15" xfId="0" applyFont="1" applyBorder="1"/>
    <xf numFmtId="0" fontId="0" fillId="0" borderId="0" xfId="0" applyBorder="1" applyAlignment="1"/>
    <xf numFmtId="0" fontId="2" fillId="0" borderId="0" xfId="0" applyFont="1" applyBorder="1" applyAlignment="1"/>
    <xf numFmtId="0" fontId="0" fillId="0" borderId="0" xfId="0" applyBorder="1" applyAlignment="1"/>
    <xf numFmtId="0" fontId="2" fillId="0" borderId="0" xfId="0" applyFont="1" applyAlignment="1"/>
    <xf numFmtId="0" fontId="0" fillId="0" borderId="0" xfId="0" applyAlignment="1"/>
    <xf numFmtId="0" fontId="1" fillId="0" borderId="0" xfId="0" applyFont="1" applyAlignment="1">
      <alignment horizontal="left" wrapText="1"/>
    </xf>
    <xf numFmtId="0" fontId="1" fillId="0" borderId="0" xfId="0" applyFont="1" applyAlignme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7" xfId="0" applyNumberFormat="1" applyFont="1" applyBorder="1"/>
    <xf numFmtId="0" fontId="7" fillId="0" borderId="7" xfId="0" applyNumberFormat="1" applyFont="1" applyBorder="1"/>
    <xf numFmtId="0" fontId="8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7" xfId="0" applyBorder="1" applyAlignment="1">
      <alignment wrapText="1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9" fontId="9" fillId="0" borderId="7" xfId="0" applyNumberFormat="1" applyFont="1" applyBorder="1"/>
    <xf numFmtId="9" fontId="10" fillId="0" borderId="7" xfId="0" applyNumberFormat="1" applyFont="1" applyBorder="1"/>
    <xf numFmtId="9" fontId="11" fillId="0" borderId="7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fmlaLink="$H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firstButton="1" fmlaLink="$H$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firstButton="1" fmlaLink="$H$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fmlaLink="$H$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firstButton="1" fmlaLink="$H$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firstButton="1" fmlaLink="$H$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firstButton="1" fmlaLink="$H$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firstButton="1" fmlaLink="$H$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firstButton="1" fmlaLink="$H$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firstButton="1" fmlaLink="$H$1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firstButton="1" fmlaLink="$H$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firstButton="1" fmlaLink="$H$1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firstButton="1" fmlaLink="$H$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firstButton="1" fmlaLink="$H$1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firstButton="1" fmlaLink="$H$1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firstButton="1" fmlaLink="$H$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firstButton="1" fmlaLink="$H$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firstButton="1" fmlaLink="$H$1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firstButton="1" fmlaLink="$H$1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firstButton="1" fmlaLink="$H$1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firstButton="1" fmlaLink="$H$1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firstButton="1" fmlaLink="$H$1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fmlaLink="$H$1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firstButton="1" fmlaLink="$H$1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firstButton="1" fmlaLink="$H$1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firstButton="1" fmlaLink="$H$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firstButton="1" fmlaLink="$H$1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firstButton="1" fmlaLink="$H$1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firstButton="1" fmlaLink="$H$1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firstButton="1" fmlaLink="$H$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firstButton="1" fmlaLink="$H$1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firstButton="1" fmlaLink="$H$1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firstButton="1" fmlaLink="$H$1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firstButton="1" fmlaLink="$H$1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firstButton="1" fmlaLink="$H$1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firstButton="1" fmlaLink="$H$1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firstButton="1" fmlaLink="$H$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firstButton="1" fmlaLink="$H$1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firstButton="1" fmlaLink="$H$1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firstButton="1" fmlaLink="$H$1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fmlaLink="$H$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firstButton="1" fmlaLink="$H$1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firstButton="1" fmlaLink="$H$1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firstButton="1" fmlaLink="$H$1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firstButton="1" fmlaLink="$H$1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firstButton="1" fmlaLink="$H$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firstButton="1" fmlaLink="$H$1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firstButton="1" fmlaLink="$H$1" lockText="1" noThreeD="1"/>
</file>

<file path=xl/ctrlProps/ctrlProp96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3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4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4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4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4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4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4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275167</xdr:colOff>
          <xdr:row>9</xdr:row>
          <xdr:rowOff>190500</xdr:rowOff>
        </xdr:from>
        <xdr:to>
          <xdr:col>7</xdr:col>
          <xdr:colOff>280458</xdr:colOff>
          <xdr:row>11</xdr:row>
          <xdr:rowOff>190500</xdr:rowOff>
        </xdr:to>
        <xdr:sp macro="" textlink="">
          <xdr:nvSpPr>
            <xdr:cNvPr id="4097" name="Следующий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0</xdr:rowOff>
        </xdr:from>
        <xdr:to>
          <xdr:col>1</xdr:col>
          <xdr:colOff>561975</xdr:colOff>
          <xdr:row>6</xdr:row>
          <xdr:rowOff>28575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6</xdr:row>
          <xdr:rowOff>0</xdr:rowOff>
        </xdr:from>
        <xdr:to>
          <xdr:col>1</xdr:col>
          <xdr:colOff>561975</xdr:colOff>
          <xdr:row>7</xdr:row>
          <xdr:rowOff>28575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3</xdr:col>
          <xdr:colOff>19050</xdr:colOff>
          <xdr:row>9</xdr:row>
          <xdr:rowOff>180975</xdr:rowOff>
        </xdr:to>
        <xdr:sp macro="" textlink="">
          <xdr:nvSpPr>
            <xdr:cNvPr id="1027" name="Следующий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28575</xdr:colOff>
          <xdr:row>9</xdr:row>
          <xdr:rowOff>180975</xdr:rowOff>
        </xdr:to>
        <xdr:sp macro="" textlink="">
          <xdr:nvSpPr>
            <xdr:cNvPr id="2051" name="Следующий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3009" name="Option 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3010" name="Option Button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3011" name="Следующий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54273" name="Option 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54274" name="Option 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54275" name="Следующий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50177" name="Option 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50178" name="Option 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50179" name="Следующий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55297" name="Option 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55298" name="Option 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55299" name="Следующий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53249" name="Option 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53250" name="Option 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53251" name="Следующий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52225" name="Option 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52226" name="Option Button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52227" name="Следующий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51201" name="Option 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51202" name="Option 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51203" name="Следующий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9153" name="Option 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9154" name="Option 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9155" name="Следующий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5057" name="Option 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5058" name="Option 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5059" name="Следующий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6081" name="Option 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6082" name="Option 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6083" name="Следующий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8129" name="Option 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8130" name="Option 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8131" name="Следующий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7105" name="Option 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7106" name="Option Button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7107" name="Следующий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9937" name="Option 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9938" name="Option 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9939" name="Следующий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0961" name="Option 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0962" name="Option 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0963" name="Следующий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4033" name="Option 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4034" name="Option 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4035" name="Следующий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41985" name="Option 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41986" name="Option 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41987" name="Следующий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4337" name="Option 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4338" name="Option 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4339" name="Следующий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8913" name="Option 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8914" name="Option Button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8915" name="Следующий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6865" name="Option 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6866" name="Option 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6867" name="Следующий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5841" name="Option 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5842" name="Option 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5843" name="Следующий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7889" name="Option 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7890" name="Option 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7891" name="Следующий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4817" name="Option 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4818" name="Option 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4819" name="Следующий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0721" name="Option 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0722" name="Option 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0723" name="Следующий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2769" name="Option 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2770" name="Option 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2771" name="Следующий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3793" name="Option 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3794" name="Option 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3795" name="Следующий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9457" name="Option 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9458" name="Option 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9459" name="Следующий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9697" name="Option 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9698" name="Option 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9699" name="Следующий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31745" name="Option 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31746" name="Option 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31747" name="Следующий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8673" name="Option 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8674" name="Option 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8675" name="Следующий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1265" name="Option 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1266" name="Option 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1267" name="Следующий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7649" name="Option 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7650" name="Option 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7651" name="Следующий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6625" name="Option 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6626" name="Option 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6627" name="Следующий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5602" name="Option 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5603" name="Следующий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4577" name="Option 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4578" name="Option 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4579" name="Следующий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3553" name="Option 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3555" name="Следующий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2529" name="Option 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2530" name="Option 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2531" name="Следующий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1505" name="Option 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1506" name="Option 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1507" name="Следующий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20481" name="Option 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20482" name="Option 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20483" name="Следующий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2289" name="Option 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2290" name="Option 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2291" name="Следующий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8433" name="Option 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8434" name="Option 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8435" name="Следующий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7409" name="Option 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7410" name="Option 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7411" name="Следующий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6385" name="Option 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6386" name="Option 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6387" name="Следующий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5361" name="Option 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5362" name="Option 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5363" name="Следующий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13313" name="Option 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13314" name="Option 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13315" name="Следующий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5</xdr:row>
          <xdr:rowOff>0</xdr:rowOff>
        </xdr:from>
        <xdr:to>
          <xdr:col>1</xdr:col>
          <xdr:colOff>571500</xdr:colOff>
          <xdr:row>6</xdr:row>
          <xdr:rowOff>28575</xdr:rowOff>
        </xdr:to>
        <xdr:sp macro="" textlink="">
          <xdr:nvSpPr>
            <xdr:cNvPr id="56321" name="Option 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6</xdr:row>
          <xdr:rowOff>0</xdr:rowOff>
        </xdr:from>
        <xdr:to>
          <xdr:col>1</xdr:col>
          <xdr:colOff>571500</xdr:colOff>
          <xdr:row>7</xdr:row>
          <xdr:rowOff>28575</xdr:rowOff>
        </xdr:to>
        <xdr:sp macro="" textlink="">
          <xdr:nvSpPr>
            <xdr:cNvPr id="56322" name="Option Button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8</xdr:row>
          <xdr:rowOff>0</xdr:rowOff>
        </xdr:from>
        <xdr:to>
          <xdr:col>3</xdr:col>
          <xdr:colOff>9525</xdr:colOff>
          <xdr:row>9</xdr:row>
          <xdr:rowOff>180975</xdr:rowOff>
        </xdr:to>
        <xdr:sp macro="" textlink="">
          <xdr:nvSpPr>
            <xdr:cNvPr id="56323" name="Следующий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4</xdr:row>
          <xdr:rowOff>171450</xdr:rowOff>
        </xdr:from>
        <xdr:to>
          <xdr:col>1</xdr:col>
          <xdr:colOff>561975</xdr:colOff>
          <xdr:row>6</xdr:row>
          <xdr:rowOff>9525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171450</xdr:rowOff>
        </xdr:from>
        <xdr:to>
          <xdr:col>1</xdr:col>
          <xdr:colOff>561975</xdr:colOff>
          <xdr:row>7</xdr:row>
          <xdr:rowOff>9525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Нет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9525</xdr:rowOff>
        </xdr:from>
        <xdr:to>
          <xdr:col>4</xdr:col>
          <xdr:colOff>9525</xdr:colOff>
          <xdr:row>10</xdr:row>
          <xdr:rowOff>0</xdr:rowOff>
        </xdr:to>
        <xdr:sp macro="" textlink="">
          <xdr:nvSpPr>
            <xdr:cNvPr id="3075" name="Следующи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image" Target="../media/image1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image" Target="../media/image1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image" Target="../media/image1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image" Target="../media/image1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image" Target="../media/image14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image" Target="../media/image15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image" Target="../media/image16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image" Target="../media/image17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image" Target="../media/image18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image" Target="../media/image1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image" Target="../media/image2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image" Target="../media/image2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image" Target="../media/image22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image" Target="../media/image23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image" Target="../media/image24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image" Target="../media/image25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image" Target="../media/image26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image" Target="../media/image27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image" Target="../media/image28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image" Target="../media/image2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image" Target="../media/image3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image" Target="../media/image31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image" Target="../media/image32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image" Target="../media/image33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image" Target="../media/image34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image" Target="../media/image35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image" Target="../media/image36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image" Target="../media/image37.emf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image" Target="../media/image38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image" Target="../media/image39.emf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78.xml"/><Relationship Id="rId5" Type="http://schemas.openxmlformats.org/officeDocument/2006/relationships/ctrlProp" Target="../ctrlProps/ctrlProp77.xml"/><Relationship Id="rId4" Type="http://schemas.openxmlformats.org/officeDocument/2006/relationships/image" Target="../media/image40.emf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image" Target="../media/image41.emf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Relationship Id="rId6" Type="http://schemas.openxmlformats.org/officeDocument/2006/relationships/ctrlProp" Target="../ctrlProps/ctrlProp82.xml"/><Relationship Id="rId5" Type="http://schemas.openxmlformats.org/officeDocument/2006/relationships/ctrlProp" Target="../ctrlProps/ctrlProp81.xml"/><Relationship Id="rId4" Type="http://schemas.openxmlformats.org/officeDocument/2006/relationships/image" Target="../media/image42.emf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image" Target="../media/image43.emf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image" Target="../media/image44.emf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5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image" Target="../media/image45.emf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image" Target="../media/image46.emf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7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image" Target="../media/image47.emf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4" Type="http://schemas.openxmlformats.org/officeDocument/2006/relationships/image" Target="../media/image48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9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Relationship Id="rId6" Type="http://schemas.openxmlformats.org/officeDocument/2006/relationships/ctrlProp" Target="../ctrlProps/ctrlProp96.xml"/><Relationship Id="rId5" Type="http://schemas.openxmlformats.org/officeDocument/2006/relationships/ctrlProp" Target="../ctrlProps/ctrlProp95.xml"/><Relationship Id="rId4" Type="http://schemas.openxmlformats.org/officeDocument/2006/relationships/image" Target="../media/image4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K9"/>
  <sheetViews>
    <sheetView tabSelected="1" zoomScale="180" zoomScaleNormal="180" workbookViewId="0">
      <selection activeCell="H21" sqref="H21"/>
    </sheetView>
  </sheetViews>
  <sheetFormatPr defaultRowHeight="15" x14ac:dyDescent="0.25"/>
  <cols>
    <col min="1" max="3" width="9.140625" customWidth="1"/>
  </cols>
  <sheetData>
    <row r="1" spans="1:11" ht="15" customHeight="1" x14ac:dyDescent="0.25">
      <c r="A1" s="50"/>
      <c r="B1" s="50"/>
      <c r="C1" s="50"/>
      <c r="D1" s="50"/>
      <c r="E1" s="50"/>
      <c r="F1" s="50"/>
    </row>
    <row r="2" spans="1:11" ht="15" customHeight="1" x14ac:dyDescent="0.25">
      <c r="A2" s="50"/>
      <c r="B2" s="51" t="s">
        <v>106</v>
      </c>
      <c r="C2" s="52"/>
      <c r="D2" s="52"/>
      <c r="E2" s="53"/>
      <c r="F2" s="50"/>
      <c r="G2" s="68"/>
      <c r="H2" s="59" t="s">
        <v>107</v>
      </c>
      <c r="I2" s="60"/>
      <c r="J2" s="60"/>
      <c r="K2" s="61"/>
    </row>
    <row r="3" spans="1:11" x14ac:dyDescent="0.25">
      <c r="A3" s="50"/>
      <c r="B3" s="54"/>
      <c r="C3" s="49"/>
      <c r="D3" s="49"/>
      <c r="E3" s="55"/>
      <c r="F3" s="50"/>
      <c r="G3" s="68"/>
      <c r="H3" s="62"/>
      <c r="I3" s="63"/>
      <c r="J3" s="63"/>
      <c r="K3" s="64"/>
    </row>
    <row r="4" spans="1:11" x14ac:dyDescent="0.25">
      <c r="A4" s="50"/>
      <c r="B4" s="54"/>
      <c r="C4" s="49"/>
      <c r="D4" s="49"/>
      <c r="E4" s="55"/>
      <c r="F4" s="50"/>
      <c r="G4" s="68"/>
      <c r="H4" s="62"/>
      <c r="I4" s="63"/>
      <c r="J4" s="63"/>
      <c r="K4" s="64"/>
    </row>
    <row r="5" spans="1:11" x14ac:dyDescent="0.25">
      <c r="A5" s="50"/>
      <c r="B5" s="54"/>
      <c r="C5" s="49"/>
      <c r="D5" s="49"/>
      <c r="E5" s="55"/>
      <c r="F5" s="50"/>
      <c r="G5" s="68"/>
      <c r="H5" s="62"/>
      <c r="I5" s="63"/>
      <c r="J5" s="63"/>
      <c r="K5" s="64"/>
    </row>
    <row r="6" spans="1:11" x14ac:dyDescent="0.25">
      <c r="A6" s="50"/>
      <c r="B6" s="54"/>
      <c r="C6" s="49"/>
      <c r="D6" s="49"/>
      <c r="E6" s="55"/>
      <c r="F6" s="50"/>
      <c r="G6" s="68"/>
      <c r="H6" s="62"/>
      <c r="I6" s="63"/>
      <c r="J6" s="63"/>
      <c r="K6" s="64"/>
    </row>
    <row r="7" spans="1:11" ht="15.75" customHeight="1" x14ac:dyDescent="0.25">
      <c r="A7" s="50"/>
      <c r="B7" s="54"/>
      <c r="C7" s="49"/>
      <c r="D7" s="49"/>
      <c r="E7" s="55"/>
      <c r="F7" s="50"/>
      <c r="G7" s="68"/>
      <c r="H7" s="62"/>
      <c r="I7" s="63"/>
      <c r="J7" s="63"/>
      <c r="K7" s="64"/>
    </row>
    <row r="8" spans="1:11" x14ac:dyDescent="0.25">
      <c r="A8" s="50"/>
      <c r="B8" s="54"/>
      <c r="C8" s="49"/>
      <c r="D8" s="49"/>
      <c r="E8" s="55"/>
      <c r="F8" s="50"/>
      <c r="G8" s="68"/>
      <c r="H8" s="62"/>
      <c r="I8" s="63"/>
      <c r="J8" s="63"/>
      <c r="K8" s="64"/>
    </row>
    <row r="9" spans="1:11" x14ac:dyDescent="0.25">
      <c r="B9" s="56"/>
      <c r="C9" s="57"/>
      <c r="D9" s="57"/>
      <c r="E9" s="58"/>
      <c r="G9" s="68"/>
      <c r="H9" s="65"/>
      <c r="I9" s="66"/>
      <c r="J9" s="66"/>
      <c r="K9" s="67"/>
    </row>
  </sheetData>
  <mergeCells count="2">
    <mergeCell ref="B2:E9"/>
    <mergeCell ref="H2:K9"/>
  </mergeCells>
  <conditionalFormatting sqref="H2:K9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Следующий">
          <controlPr defaultSize="0" autoLine="0" r:id="rId4">
            <anchor moveWithCells="1">
              <from>
                <xdr:col>3</xdr:col>
                <xdr:colOff>276225</xdr:colOff>
                <xdr:row>10</xdr:row>
                <xdr:rowOff>0</xdr:rowOff>
              </from>
              <to>
                <xdr:col>7</xdr:col>
                <xdr:colOff>276225</xdr:colOff>
                <xdr:row>12</xdr:row>
                <xdr:rowOff>0</xdr:rowOff>
              </to>
            </anchor>
          </controlPr>
        </control>
      </mc:Choice>
      <mc:Fallback>
        <control shapeId="4097" r:id="rId3" name="Следующи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E4"/>
  <sheetViews>
    <sheetView zoomScale="180" zoomScaleNormal="180" workbookViewId="0">
      <selection activeCell="D30" sqref="D30"/>
    </sheetView>
  </sheetViews>
  <sheetFormatPr defaultRowHeight="15" x14ac:dyDescent="0.25"/>
  <cols>
    <col min="1" max="3" width="11.140625" customWidth="1"/>
  </cols>
  <sheetData>
    <row r="2" spans="2:5" x14ac:dyDescent="0.25">
      <c r="B2" s="1" t="s">
        <v>0</v>
      </c>
    </row>
    <row r="4" spans="2:5" x14ac:dyDescent="0.25">
      <c r="B4" s="31" t="s">
        <v>1</v>
      </c>
      <c r="C4" s="32"/>
      <c r="D4" s="32"/>
      <c r="E4" s="32"/>
    </row>
  </sheetData>
  <mergeCells count="1">
    <mergeCell ref="B4:E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Следующий">
          <controlPr defaultSize="0" autoLine="0" r:id="rId5">
            <anchor moveWithCells="1">
              <from>
                <xdr:col>1</xdr:col>
                <xdr:colOff>0</xdr:colOff>
                <xdr:row>8</xdr:row>
                <xdr:rowOff>9525</xdr:rowOff>
              </from>
              <to>
                <xdr:col>3</xdr:col>
                <xdr:colOff>19050</xdr:colOff>
                <xdr:row>9</xdr:row>
                <xdr:rowOff>180975</xdr:rowOff>
              </to>
            </anchor>
          </controlPr>
        </control>
      </mc:Choice>
      <mc:Fallback>
        <control shapeId="1027" r:id="rId4" name="Следующий"/>
      </mc:Fallback>
    </mc:AlternateContent>
    <mc:AlternateContent xmlns:mc="http://schemas.openxmlformats.org/markup-compatibility/2006">
      <mc:Choice Requires="x14">
        <control shapeId="1025" r:id="rId6" name="Option Button 1">
          <controlPr defaultSize="0" autoFill="0" autoLine="0" autoPict="0">
            <anchor moveWithCells="1">
              <from>
                <xdr:col>0</xdr:col>
                <xdr:colOff>704850</xdr:colOff>
                <xdr:row>5</xdr:row>
                <xdr:rowOff>0</xdr:rowOff>
              </from>
              <to>
                <xdr:col>1</xdr:col>
                <xdr:colOff>561975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Option Button 2">
          <controlPr defaultSize="0" autoFill="0" autoLine="0" autoPict="0">
            <anchor moveWithCells="1">
              <from>
                <xdr:col>0</xdr:col>
                <xdr:colOff>704850</xdr:colOff>
                <xdr:row>6</xdr:row>
                <xdr:rowOff>0</xdr:rowOff>
              </from>
              <to>
                <xdr:col>1</xdr:col>
                <xdr:colOff>561975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2:D4"/>
  <sheetViews>
    <sheetView zoomScale="180" zoomScaleNormal="180" workbookViewId="0">
      <selection activeCell="D45" sqref="D45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2</v>
      </c>
    </row>
    <row r="4" spans="2:4" x14ac:dyDescent="0.25">
      <c r="B4" s="33" t="s">
        <v>3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051" r:id="rId3" name="Следующий">
          <controlPr defaultSize="0" autoLine="0" r:id="rId4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180975</xdr:rowOff>
              </to>
            </anchor>
          </controlPr>
        </control>
      </mc:Choice>
      <mc:Fallback>
        <control shapeId="2051" r:id="rId3" name="Следующий"/>
      </mc:Fallback>
    </mc:AlternateContent>
    <mc:AlternateContent xmlns:mc="http://schemas.openxmlformats.org/markup-compatibility/2006">
      <mc:Choice Requires="x14">
        <control shapeId="204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/>
  <dimension ref="B2:E4"/>
  <sheetViews>
    <sheetView zoomScale="180" zoomScaleNormal="180" workbookViewId="0">
      <selection activeCell="D41" sqref="D41"/>
    </sheetView>
  </sheetViews>
  <sheetFormatPr defaultRowHeight="15" x14ac:dyDescent="0.25"/>
  <cols>
    <col min="1" max="3" width="11.140625" customWidth="1"/>
  </cols>
  <sheetData>
    <row r="2" spans="2:5" x14ac:dyDescent="0.25">
      <c r="B2" s="1" t="s">
        <v>4</v>
      </c>
    </row>
    <row r="4" spans="2:5" x14ac:dyDescent="0.25">
      <c r="B4" s="35" t="s">
        <v>10</v>
      </c>
      <c r="C4" s="35"/>
      <c r="D4" s="35"/>
      <c r="E4" s="35"/>
    </row>
  </sheetData>
  <mergeCells count="1">
    <mergeCell ref="B4:E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301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3011" r:id="rId3" name="Следующий"/>
      </mc:Fallback>
    </mc:AlternateContent>
    <mc:AlternateContent xmlns:mc="http://schemas.openxmlformats.org/markup-compatibility/2006">
      <mc:Choice Requires="x14">
        <control shapeId="4300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01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8"/>
  <dimension ref="B2:D4"/>
  <sheetViews>
    <sheetView zoomScale="180" zoomScaleNormal="180" workbookViewId="0">
      <selection activeCell="D44" sqref="D44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12</v>
      </c>
    </row>
    <row r="4" spans="2:4" x14ac:dyDescent="0.25">
      <c r="B4" s="36" t="s">
        <v>11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5427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54275" r:id="rId3" name="Следующий"/>
      </mc:Fallback>
    </mc:AlternateContent>
    <mc:AlternateContent xmlns:mc="http://schemas.openxmlformats.org/markup-compatibility/2006">
      <mc:Choice Requires="x14">
        <control shapeId="5427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427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4"/>
  <dimension ref="B2:F4"/>
  <sheetViews>
    <sheetView zoomScale="180" zoomScaleNormal="180" workbookViewId="0">
      <selection activeCell="C40" sqref="C40"/>
    </sheetView>
  </sheetViews>
  <sheetFormatPr defaultRowHeight="15" x14ac:dyDescent="0.25"/>
  <cols>
    <col min="1" max="3" width="11.140625" customWidth="1"/>
  </cols>
  <sheetData>
    <row r="2" spans="2:6" x14ac:dyDescent="0.25">
      <c r="B2" s="1" t="s">
        <v>13</v>
      </c>
    </row>
    <row r="4" spans="2:6" x14ac:dyDescent="0.25">
      <c r="B4" s="37" t="s">
        <v>14</v>
      </c>
      <c r="C4" s="37"/>
      <c r="D4" s="37"/>
      <c r="E4" s="37"/>
      <c r="F4" s="37"/>
    </row>
  </sheetData>
  <mergeCells count="1">
    <mergeCell ref="B4:F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5017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50179" r:id="rId3" name="Следующий"/>
      </mc:Fallback>
    </mc:AlternateContent>
    <mc:AlternateContent xmlns:mc="http://schemas.openxmlformats.org/markup-compatibility/2006">
      <mc:Choice Requires="x14">
        <control shapeId="5017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017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9"/>
  <dimension ref="B2:D4"/>
  <sheetViews>
    <sheetView zoomScale="180" zoomScaleNormal="180" workbookViewId="0">
      <selection activeCell="E57" sqref="E57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15</v>
      </c>
    </row>
    <row r="4" spans="2:4" x14ac:dyDescent="0.25">
      <c r="B4" s="3" t="s">
        <v>16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5529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55299" r:id="rId3" name="Следующий"/>
      </mc:Fallback>
    </mc:AlternateContent>
    <mc:AlternateContent xmlns:mc="http://schemas.openxmlformats.org/markup-compatibility/2006">
      <mc:Choice Requires="x14">
        <control shapeId="5529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529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7"/>
  <dimension ref="B2:E4"/>
  <sheetViews>
    <sheetView zoomScale="180" zoomScaleNormal="180" workbookViewId="0">
      <selection activeCell="C53" sqref="C53"/>
    </sheetView>
  </sheetViews>
  <sheetFormatPr defaultRowHeight="15" x14ac:dyDescent="0.25"/>
  <cols>
    <col min="1" max="3" width="11.140625" customWidth="1"/>
  </cols>
  <sheetData>
    <row r="2" spans="2:5" x14ac:dyDescent="0.25">
      <c r="B2" s="1" t="s">
        <v>17</v>
      </c>
    </row>
    <row r="4" spans="2:5" x14ac:dyDescent="0.25">
      <c r="B4" s="4" t="s">
        <v>18</v>
      </c>
      <c r="C4" s="5"/>
      <c r="D4" s="5"/>
      <c r="E4" s="5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5325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53251" r:id="rId3" name="Следующий"/>
      </mc:Fallback>
    </mc:AlternateContent>
    <mc:AlternateContent xmlns:mc="http://schemas.openxmlformats.org/markup-compatibility/2006">
      <mc:Choice Requires="x14">
        <control shapeId="5324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325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6"/>
  <dimension ref="B2:E4"/>
  <sheetViews>
    <sheetView zoomScale="180" zoomScaleNormal="180" workbookViewId="0">
      <selection activeCell="C52" sqref="C52"/>
    </sheetView>
  </sheetViews>
  <sheetFormatPr defaultRowHeight="15" x14ac:dyDescent="0.25"/>
  <cols>
    <col min="1" max="3" width="11.140625" customWidth="1"/>
  </cols>
  <sheetData>
    <row r="2" spans="2:5" x14ac:dyDescent="0.25">
      <c r="B2" s="1" t="s">
        <v>19</v>
      </c>
    </row>
    <row r="4" spans="2:5" x14ac:dyDescent="0.25">
      <c r="B4" s="4" t="s">
        <v>20</v>
      </c>
      <c r="C4" s="5"/>
      <c r="D4" s="5"/>
      <c r="E4" s="5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5222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52227" r:id="rId3" name="Следующий"/>
      </mc:Fallback>
    </mc:AlternateContent>
    <mc:AlternateContent xmlns:mc="http://schemas.openxmlformats.org/markup-compatibility/2006">
      <mc:Choice Requires="x14">
        <control shapeId="5222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2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5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21</v>
      </c>
    </row>
    <row r="4" spans="2:4" x14ac:dyDescent="0.25">
      <c r="B4" s="36" t="s">
        <v>22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5120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51203" r:id="rId3" name="Следующий"/>
      </mc:Fallback>
    </mc:AlternateContent>
    <mc:AlternateContent xmlns:mc="http://schemas.openxmlformats.org/markup-compatibility/2006">
      <mc:Choice Requires="x14">
        <control shapeId="5120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0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3"/>
  <dimension ref="B2:D4"/>
  <sheetViews>
    <sheetView zoomScale="180" zoomScaleNormal="180" workbookViewId="0">
      <selection activeCell="C46" sqref="C46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23</v>
      </c>
    </row>
    <row r="4" spans="2:4" x14ac:dyDescent="0.25">
      <c r="B4" s="3" t="s">
        <v>24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915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9155" r:id="rId3" name="Следующий"/>
      </mc:Fallback>
    </mc:AlternateContent>
    <mc:AlternateContent xmlns:mc="http://schemas.openxmlformats.org/markup-compatibility/2006">
      <mc:Choice Requires="x14">
        <control shapeId="4915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915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25</v>
      </c>
    </row>
    <row r="4" spans="2:4" x14ac:dyDescent="0.25">
      <c r="B4" s="3" t="s">
        <v>27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505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5059" r:id="rId3" name="Следующий"/>
      </mc:Fallback>
    </mc:AlternateContent>
    <mc:AlternateContent xmlns:mc="http://schemas.openxmlformats.org/markup-compatibility/2006">
      <mc:Choice Requires="x14">
        <control shapeId="4505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05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0"/>
  <dimension ref="B2:D4"/>
  <sheetViews>
    <sheetView zoomScale="180" zoomScaleNormal="180" workbookViewId="0">
      <selection activeCell="C61" sqref="C61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26</v>
      </c>
    </row>
    <row r="4" spans="2:4" x14ac:dyDescent="0.25">
      <c r="B4" s="3" t="s">
        <v>28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608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6083" r:id="rId3" name="Следующий"/>
      </mc:Fallback>
    </mc:AlternateContent>
    <mc:AlternateContent xmlns:mc="http://schemas.openxmlformats.org/markup-compatibility/2006">
      <mc:Choice Requires="x14">
        <control shapeId="4608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608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2"/>
  <dimension ref="B2:D4"/>
  <sheetViews>
    <sheetView zoomScale="180" zoomScaleNormal="180" workbookViewId="0">
      <selection activeCell="C43" sqref="C43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29</v>
      </c>
    </row>
    <row r="4" spans="2:4" x14ac:dyDescent="0.25">
      <c r="B4" s="3" t="s">
        <v>30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813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8131" r:id="rId3" name="Следующий"/>
      </mc:Fallback>
    </mc:AlternateContent>
    <mc:AlternateContent xmlns:mc="http://schemas.openxmlformats.org/markup-compatibility/2006">
      <mc:Choice Requires="x14">
        <control shapeId="4812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13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1"/>
  <dimension ref="B2:D4"/>
  <sheetViews>
    <sheetView zoomScale="180" zoomScaleNormal="180" workbookViewId="0">
      <selection activeCell="C43" sqref="C43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31</v>
      </c>
    </row>
    <row r="4" spans="2:4" x14ac:dyDescent="0.25">
      <c r="B4" s="36" t="s">
        <v>32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710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7107" r:id="rId3" name="Следующий"/>
      </mc:Fallback>
    </mc:AlternateContent>
    <mc:AlternateContent xmlns:mc="http://schemas.openxmlformats.org/markup-compatibility/2006">
      <mc:Choice Requires="x14">
        <control shapeId="4710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0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4"/>
  <dimension ref="B2:D4"/>
  <sheetViews>
    <sheetView zoomScale="180" zoomScaleNormal="180" workbookViewId="0">
      <selection activeCell="C43" sqref="C43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33</v>
      </c>
    </row>
    <row r="4" spans="2:4" x14ac:dyDescent="0.25">
      <c r="B4" s="36" t="s">
        <v>34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993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9939" r:id="rId3" name="Следующий"/>
      </mc:Fallback>
    </mc:AlternateContent>
    <mc:AlternateContent xmlns:mc="http://schemas.openxmlformats.org/markup-compatibility/2006">
      <mc:Choice Requires="x14">
        <control shapeId="3993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993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5"/>
  <dimension ref="B2:D4"/>
  <sheetViews>
    <sheetView zoomScale="180" zoomScaleNormal="180" workbookViewId="0">
      <selection activeCell="C46" sqref="C46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35</v>
      </c>
    </row>
    <row r="4" spans="2:4" x14ac:dyDescent="0.25">
      <c r="B4" s="36" t="s">
        <v>36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096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0963" r:id="rId3" name="Следующий"/>
      </mc:Fallback>
    </mc:AlternateContent>
    <mc:AlternateContent xmlns:mc="http://schemas.openxmlformats.org/markup-compatibility/2006">
      <mc:Choice Requires="x14">
        <control shapeId="4096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8"/>
  <dimension ref="B2:E5"/>
  <sheetViews>
    <sheetView zoomScale="180" zoomScaleNormal="180" workbookViewId="0">
      <selection activeCell="C64" sqref="C64"/>
    </sheetView>
  </sheetViews>
  <sheetFormatPr defaultRowHeight="15" x14ac:dyDescent="0.25"/>
  <cols>
    <col min="1" max="3" width="11.140625" customWidth="1"/>
  </cols>
  <sheetData>
    <row r="2" spans="2:5" x14ac:dyDescent="0.25">
      <c r="B2" s="1" t="s">
        <v>37</v>
      </c>
    </row>
    <row r="4" spans="2:5" ht="15" customHeight="1" x14ac:dyDescent="0.25">
      <c r="B4" s="35" t="s">
        <v>38</v>
      </c>
      <c r="C4" s="35"/>
      <c r="D4" s="35"/>
      <c r="E4" s="35"/>
    </row>
    <row r="5" spans="2:5" x14ac:dyDescent="0.25">
      <c r="B5" s="35"/>
      <c r="C5" s="35"/>
      <c r="D5" s="35"/>
      <c r="E5" s="35"/>
    </row>
  </sheetData>
  <mergeCells count="1">
    <mergeCell ref="B4:E5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403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4035" r:id="rId3" name="Следующий"/>
      </mc:Fallback>
    </mc:AlternateContent>
    <mc:AlternateContent xmlns:mc="http://schemas.openxmlformats.org/markup-compatibility/2006">
      <mc:Choice Requires="x14">
        <control shapeId="4403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6"/>
  <dimension ref="B2:F4"/>
  <sheetViews>
    <sheetView zoomScale="180" zoomScaleNormal="180" workbookViewId="0">
      <selection activeCell="C76" sqref="C76"/>
    </sheetView>
  </sheetViews>
  <sheetFormatPr defaultRowHeight="15" x14ac:dyDescent="0.25"/>
  <cols>
    <col min="1" max="3" width="11.140625" customWidth="1"/>
  </cols>
  <sheetData>
    <row r="2" spans="2:6" x14ac:dyDescent="0.25">
      <c r="B2" s="1" t="s">
        <v>39</v>
      </c>
    </row>
    <row r="4" spans="2:6" x14ac:dyDescent="0.25">
      <c r="B4" s="37" t="s">
        <v>40</v>
      </c>
      <c r="C4" s="37"/>
      <c r="D4" s="37"/>
      <c r="E4" s="37"/>
      <c r="F4" s="37"/>
    </row>
  </sheetData>
  <mergeCells count="1">
    <mergeCell ref="B4:F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198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41987" r:id="rId3" name="Следующий"/>
      </mc:Fallback>
    </mc:AlternateContent>
    <mc:AlternateContent xmlns:mc="http://schemas.openxmlformats.org/markup-compatibility/2006">
      <mc:Choice Requires="x14">
        <control shapeId="4198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8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41</v>
      </c>
    </row>
    <row r="4" spans="2:4" x14ac:dyDescent="0.25">
      <c r="B4" s="36" t="s">
        <v>42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433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4339" r:id="rId3" name="Следующий"/>
      </mc:Fallback>
    </mc:AlternateContent>
    <mc:AlternateContent xmlns:mc="http://schemas.openxmlformats.org/markup-compatibility/2006">
      <mc:Choice Requires="x14">
        <control shapeId="1433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3"/>
  <dimension ref="B2:D4"/>
  <sheetViews>
    <sheetView zoomScale="180" zoomScaleNormal="180" workbookViewId="0">
      <selection activeCell="C55" sqref="C55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43</v>
      </c>
    </row>
    <row r="4" spans="2:4" x14ac:dyDescent="0.25">
      <c r="B4" s="3" t="s">
        <v>44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891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8915" r:id="rId3" name="Следующий"/>
      </mc:Fallback>
    </mc:AlternateContent>
    <mc:AlternateContent xmlns:mc="http://schemas.openxmlformats.org/markup-compatibility/2006">
      <mc:Choice Requires="x14">
        <control shapeId="3891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91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"/>
  <dimension ref="B2:H4"/>
  <sheetViews>
    <sheetView zoomScale="180" zoomScaleNormal="180" workbookViewId="0">
      <selection activeCell="C55" sqref="C55"/>
    </sheetView>
  </sheetViews>
  <sheetFormatPr defaultRowHeight="15" x14ac:dyDescent="0.25"/>
  <cols>
    <col min="1" max="3" width="11.140625" customWidth="1"/>
  </cols>
  <sheetData>
    <row r="2" spans="2:8" x14ac:dyDescent="0.25">
      <c r="B2" s="1" t="s">
        <v>45</v>
      </c>
    </row>
    <row r="4" spans="2:8" x14ac:dyDescent="0.25">
      <c r="B4" s="37" t="s">
        <v>46</v>
      </c>
      <c r="C4" s="37"/>
      <c r="D4" s="37"/>
      <c r="E4" s="37"/>
      <c r="F4" s="37"/>
      <c r="G4" s="37"/>
      <c r="H4" s="37"/>
    </row>
  </sheetData>
  <mergeCells count="1">
    <mergeCell ref="B4:H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686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6867" r:id="rId3" name="Следующий"/>
      </mc:Fallback>
    </mc:AlternateContent>
    <mc:AlternateContent xmlns:mc="http://schemas.openxmlformats.org/markup-compatibility/2006">
      <mc:Choice Requires="x14">
        <control shapeId="3686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6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47</v>
      </c>
    </row>
    <row r="4" spans="2:4" x14ac:dyDescent="0.25">
      <c r="B4" s="3" t="s">
        <v>48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584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5843" r:id="rId3" name="Следующий"/>
      </mc:Fallback>
    </mc:AlternateContent>
    <mc:AlternateContent xmlns:mc="http://schemas.openxmlformats.org/markup-compatibility/2006">
      <mc:Choice Requires="x14">
        <control shapeId="3584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2:D4"/>
  <sheetViews>
    <sheetView zoomScale="180" zoomScaleNormal="180" workbookViewId="0">
      <selection activeCell="C52" sqref="C52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49</v>
      </c>
    </row>
    <row r="4" spans="2:4" x14ac:dyDescent="0.25">
      <c r="B4" s="3" t="s">
        <v>50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789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7891" r:id="rId3" name="Следующий"/>
      </mc:Fallback>
    </mc:AlternateContent>
    <mc:AlternateContent xmlns:mc="http://schemas.openxmlformats.org/markup-compatibility/2006">
      <mc:Choice Requires="x14">
        <control shapeId="3788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89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/>
  <dimension ref="B2:D4"/>
  <sheetViews>
    <sheetView zoomScale="180" zoomScaleNormal="180" workbookViewId="0">
      <selection activeCell="C58" sqref="C58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51</v>
      </c>
    </row>
    <row r="4" spans="2:4" x14ac:dyDescent="0.25">
      <c r="B4" s="36" t="s">
        <v>52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481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4819" r:id="rId3" name="Следующий"/>
      </mc:Fallback>
    </mc:AlternateContent>
    <mc:AlternateContent xmlns:mc="http://schemas.openxmlformats.org/markup-compatibility/2006">
      <mc:Choice Requires="x14">
        <control shapeId="3481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481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/>
  <dimension ref="B2:F4"/>
  <sheetViews>
    <sheetView zoomScale="180" zoomScaleNormal="180" workbookViewId="0">
      <selection activeCell="C67" sqref="C67"/>
    </sheetView>
  </sheetViews>
  <sheetFormatPr defaultRowHeight="15" x14ac:dyDescent="0.25"/>
  <cols>
    <col min="1" max="3" width="11.140625" customWidth="1"/>
  </cols>
  <sheetData>
    <row r="2" spans="2:6" x14ac:dyDescent="0.25">
      <c r="B2" s="1" t="s">
        <v>53</v>
      </c>
    </row>
    <row r="4" spans="2:6" x14ac:dyDescent="0.25">
      <c r="B4" s="37" t="s">
        <v>54</v>
      </c>
      <c r="C4" s="37"/>
      <c r="D4" s="37"/>
      <c r="E4" s="37"/>
      <c r="F4" s="37"/>
    </row>
  </sheetData>
  <mergeCells count="1">
    <mergeCell ref="B4:F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072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0723" r:id="rId3" name="Следующий"/>
      </mc:Fallback>
    </mc:AlternateContent>
    <mc:AlternateContent xmlns:mc="http://schemas.openxmlformats.org/markup-compatibility/2006">
      <mc:Choice Requires="x14">
        <control shapeId="3072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2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/>
  <dimension ref="B2:D4"/>
  <sheetViews>
    <sheetView zoomScale="180" zoomScaleNormal="180" workbookViewId="0">
      <selection activeCell="C64" sqref="C64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55</v>
      </c>
    </row>
    <row r="4" spans="2:4" x14ac:dyDescent="0.25">
      <c r="B4" s="3" t="s">
        <v>56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277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2771" r:id="rId3" name="Следующий"/>
      </mc:Fallback>
    </mc:AlternateContent>
    <mc:AlternateContent xmlns:mc="http://schemas.openxmlformats.org/markup-compatibility/2006">
      <mc:Choice Requires="x14">
        <control shapeId="3276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7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/>
  <dimension ref="B2:G4"/>
  <sheetViews>
    <sheetView zoomScale="180" zoomScaleNormal="180" workbookViewId="0">
      <selection activeCell="C70" sqref="C70"/>
    </sheetView>
  </sheetViews>
  <sheetFormatPr defaultRowHeight="15" x14ac:dyDescent="0.25"/>
  <cols>
    <col min="1" max="3" width="11.140625" customWidth="1"/>
  </cols>
  <sheetData>
    <row r="2" spans="2:7" x14ac:dyDescent="0.25">
      <c r="B2" s="1" t="s">
        <v>57</v>
      </c>
    </row>
    <row r="4" spans="2:7" x14ac:dyDescent="0.25">
      <c r="B4" s="37" t="s">
        <v>58</v>
      </c>
      <c r="C4" s="37"/>
      <c r="D4" s="37"/>
      <c r="E4" s="37"/>
      <c r="F4" s="37"/>
      <c r="G4" s="37"/>
    </row>
  </sheetData>
  <mergeCells count="1">
    <mergeCell ref="B4:G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379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3795" r:id="rId3" name="Следующий"/>
      </mc:Fallback>
    </mc:AlternateContent>
    <mc:AlternateContent xmlns:mc="http://schemas.openxmlformats.org/markup-compatibility/2006">
      <mc:Choice Requires="x14">
        <control shapeId="3379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79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B2:D4"/>
  <sheetViews>
    <sheetView zoomScale="180" zoomScaleNormal="180" workbookViewId="0">
      <selection activeCell="C52" sqref="C52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59</v>
      </c>
    </row>
    <row r="4" spans="2:4" x14ac:dyDescent="0.25">
      <c r="B4" s="3" t="s">
        <v>60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945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9459" r:id="rId3" name="Следующий"/>
      </mc:Fallback>
    </mc:AlternateContent>
    <mc:AlternateContent xmlns:mc="http://schemas.openxmlformats.org/markup-compatibility/2006">
      <mc:Choice Requires="x14">
        <control shapeId="1945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61</v>
      </c>
    </row>
    <row r="4" spans="2:4" x14ac:dyDescent="0.25">
      <c r="B4" s="3" t="s">
        <v>63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969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9699" r:id="rId3" name="Следующий"/>
      </mc:Fallback>
    </mc:AlternateContent>
    <mc:AlternateContent xmlns:mc="http://schemas.openxmlformats.org/markup-compatibility/2006">
      <mc:Choice Requires="x14">
        <control shapeId="2969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69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62</v>
      </c>
    </row>
    <row r="4" spans="2:4" x14ac:dyDescent="0.25">
      <c r="B4" s="36" t="s">
        <v>64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174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31747" r:id="rId3" name="Следующий"/>
      </mc:Fallback>
    </mc:AlternateContent>
    <mc:AlternateContent xmlns:mc="http://schemas.openxmlformats.org/markup-compatibility/2006">
      <mc:Choice Requires="x14">
        <control shapeId="3174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B2:D4"/>
  <sheetViews>
    <sheetView zoomScale="180" zoomScaleNormal="180" workbookViewId="0">
      <selection activeCell="C67" sqref="C67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65</v>
      </c>
    </row>
    <row r="4" spans="2:4" x14ac:dyDescent="0.25">
      <c r="B4" s="3" t="s">
        <v>66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867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8675" r:id="rId3" name="Следующий"/>
      </mc:Fallback>
    </mc:AlternateContent>
    <mc:AlternateContent xmlns:mc="http://schemas.openxmlformats.org/markup-compatibility/2006">
      <mc:Choice Requires="x14">
        <control shapeId="2867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7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D4"/>
  <sheetViews>
    <sheetView zoomScale="180" zoomScaleNormal="180" workbookViewId="0">
      <selection activeCell="C52" sqref="C52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67</v>
      </c>
    </row>
    <row r="4" spans="2:4" x14ac:dyDescent="0.25">
      <c r="B4" s="3" t="s">
        <v>68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126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1267" r:id="rId3" name="Следующий"/>
      </mc:Fallback>
    </mc:AlternateContent>
    <mc:AlternateContent xmlns:mc="http://schemas.openxmlformats.org/markup-compatibility/2006">
      <mc:Choice Requires="x14">
        <control shapeId="1126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B2:D4"/>
  <sheetViews>
    <sheetView zoomScale="180" zoomScaleNormal="180" workbookViewId="0">
      <selection activeCell="C67" sqref="C67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69</v>
      </c>
    </row>
    <row r="4" spans="2:4" x14ac:dyDescent="0.25">
      <c r="B4" s="3" t="s">
        <v>70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765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7651" r:id="rId3" name="Следующий"/>
      </mc:Fallback>
    </mc:AlternateContent>
    <mc:AlternateContent xmlns:mc="http://schemas.openxmlformats.org/markup-compatibility/2006">
      <mc:Choice Requires="x14">
        <control shapeId="2764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65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B2:D4"/>
  <sheetViews>
    <sheetView zoomScale="180" zoomScaleNormal="180" workbookViewId="0">
      <selection activeCell="C43" sqref="C43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71</v>
      </c>
    </row>
    <row r="4" spans="2:4" x14ac:dyDescent="0.25">
      <c r="B4" s="36" t="s">
        <v>72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662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6627" r:id="rId3" name="Следующий"/>
      </mc:Fallback>
    </mc:AlternateContent>
    <mc:AlternateContent xmlns:mc="http://schemas.openxmlformats.org/markup-compatibility/2006">
      <mc:Choice Requires="x14">
        <control shapeId="2662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2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B2:D4"/>
  <sheetViews>
    <sheetView zoomScale="180" zoomScaleNormal="180" workbookViewId="0">
      <selection activeCell="C58" sqref="C58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73</v>
      </c>
    </row>
    <row r="4" spans="2:4" x14ac:dyDescent="0.25">
      <c r="B4" s="3" t="s">
        <v>74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560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5603" r:id="rId3" name="Следующий"/>
      </mc:Fallback>
    </mc:AlternateContent>
    <mc:AlternateContent xmlns:mc="http://schemas.openxmlformats.org/markup-compatibility/2006">
      <mc:Choice Requires="x14">
        <control shapeId="2560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0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B2:E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5" x14ac:dyDescent="0.25">
      <c r="B2" s="1" t="s">
        <v>75</v>
      </c>
    </row>
    <row r="4" spans="2:5" x14ac:dyDescent="0.25">
      <c r="B4" s="38" t="s">
        <v>76</v>
      </c>
      <c r="C4" s="38"/>
      <c r="D4" s="38"/>
      <c r="E4" s="38"/>
    </row>
  </sheetData>
  <mergeCells count="1">
    <mergeCell ref="B4:E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4579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4579" r:id="rId3" name="Следующий"/>
      </mc:Fallback>
    </mc:AlternateContent>
    <mc:AlternateContent xmlns:mc="http://schemas.openxmlformats.org/markup-compatibility/2006">
      <mc:Choice Requires="x14">
        <control shapeId="24577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78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B2:D4"/>
  <sheetViews>
    <sheetView zoomScale="180" zoomScaleNormal="180" workbookViewId="0">
      <selection activeCell="C58" sqref="C58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77</v>
      </c>
    </row>
    <row r="4" spans="2:4" x14ac:dyDescent="0.25">
      <c r="B4" s="36" t="s">
        <v>78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355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3555" r:id="rId3" name="Следующий"/>
      </mc:Fallback>
    </mc:AlternateContent>
    <mc:AlternateContent xmlns:mc="http://schemas.openxmlformats.org/markup-compatibility/2006">
      <mc:Choice Requires="x14">
        <control shapeId="2355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B2:D4"/>
  <sheetViews>
    <sheetView zoomScale="180" zoomScaleNormal="180" workbookViewId="0">
      <selection activeCell="C58" sqref="C58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80</v>
      </c>
    </row>
    <row r="4" spans="2:4" x14ac:dyDescent="0.25">
      <c r="B4" s="3" t="s">
        <v>79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253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2531" r:id="rId3" name="Следующий"/>
      </mc:Fallback>
    </mc:AlternateContent>
    <mc:AlternateContent xmlns:mc="http://schemas.openxmlformats.org/markup-compatibility/2006">
      <mc:Choice Requires="x14">
        <control shapeId="2252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B2:G4"/>
  <sheetViews>
    <sheetView zoomScale="180" zoomScaleNormal="180" workbookViewId="0">
      <selection activeCell="C76" sqref="C76"/>
    </sheetView>
  </sheetViews>
  <sheetFormatPr defaultRowHeight="15" x14ac:dyDescent="0.25"/>
  <cols>
    <col min="1" max="3" width="11.140625" customWidth="1"/>
  </cols>
  <sheetData>
    <row r="2" spans="2:7" x14ac:dyDescent="0.25">
      <c r="B2" s="1" t="s">
        <v>81</v>
      </c>
    </row>
    <row r="4" spans="2:7" x14ac:dyDescent="0.25">
      <c r="B4" s="37" t="s">
        <v>82</v>
      </c>
      <c r="C4" s="37"/>
      <c r="D4" s="37"/>
      <c r="E4" s="37"/>
      <c r="F4" s="37"/>
      <c r="G4" s="37"/>
    </row>
  </sheetData>
  <mergeCells count="1">
    <mergeCell ref="B4:G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150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1507" r:id="rId3" name="Следующий"/>
      </mc:Fallback>
    </mc:AlternateContent>
    <mc:AlternateContent xmlns:mc="http://schemas.openxmlformats.org/markup-compatibility/2006">
      <mc:Choice Requires="x14">
        <control shapeId="2150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B2:D4"/>
  <sheetViews>
    <sheetView zoomScale="180" zoomScaleNormal="180" workbookViewId="0">
      <selection activeCell="C55" sqref="C55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83</v>
      </c>
    </row>
    <row r="4" spans="2:4" x14ac:dyDescent="0.25">
      <c r="B4" s="36" t="s">
        <v>84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048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20483" r:id="rId3" name="Следующий"/>
      </mc:Fallback>
    </mc:AlternateContent>
    <mc:AlternateContent xmlns:mc="http://schemas.openxmlformats.org/markup-compatibility/2006">
      <mc:Choice Requires="x14">
        <control shapeId="2048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2:D4"/>
  <sheetViews>
    <sheetView zoomScale="180" zoomScaleNormal="180" workbookViewId="0">
      <selection activeCell="C73" sqref="C73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85</v>
      </c>
    </row>
    <row r="4" spans="2:4" x14ac:dyDescent="0.25">
      <c r="B4" s="36" t="s">
        <v>86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229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2291" r:id="rId3" name="Следующий"/>
      </mc:Fallback>
    </mc:AlternateContent>
    <mc:AlternateContent xmlns:mc="http://schemas.openxmlformats.org/markup-compatibility/2006">
      <mc:Choice Requires="x14">
        <control shapeId="1228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2:D4"/>
  <sheetViews>
    <sheetView zoomScale="180" zoomScaleNormal="180" workbookViewId="0">
      <selection activeCell="C43" sqref="C43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87</v>
      </c>
    </row>
    <row r="4" spans="2:4" x14ac:dyDescent="0.25">
      <c r="B4" s="3" t="s">
        <v>88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843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8435" r:id="rId3" name="Следующий"/>
      </mc:Fallback>
    </mc:AlternateContent>
    <mc:AlternateContent xmlns:mc="http://schemas.openxmlformats.org/markup-compatibility/2006">
      <mc:Choice Requires="x14">
        <control shapeId="1843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89</v>
      </c>
    </row>
    <row r="4" spans="2:4" x14ac:dyDescent="0.25">
      <c r="B4" s="36" t="s">
        <v>90</v>
      </c>
      <c r="C4" s="34"/>
      <c r="D4" s="34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7411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7411" r:id="rId3" name="Следующий"/>
      </mc:Fallback>
    </mc:AlternateContent>
    <mc:AlternateContent xmlns:mc="http://schemas.openxmlformats.org/markup-compatibility/2006">
      <mc:Choice Requires="x14">
        <control shapeId="17409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91</v>
      </c>
    </row>
    <row r="4" spans="2:4" x14ac:dyDescent="0.25">
      <c r="B4" s="3" t="s">
        <v>92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387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6387" r:id="rId3" name="Следующий"/>
      </mc:Fallback>
    </mc:AlternateContent>
    <mc:AlternateContent xmlns:mc="http://schemas.openxmlformats.org/markup-compatibility/2006">
      <mc:Choice Requires="x14">
        <control shapeId="16385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B2:D4"/>
  <sheetViews>
    <sheetView zoomScale="180" zoomScaleNormal="180" workbookViewId="0">
      <selection activeCell="C52" sqref="C52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93</v>
      </c>
    </row>
    <row r="4" spans="2:4" x14ac:dyDescent="0.25">
      <c r="B4" s="3" t="s">
        <v>94</v>
      </c>
      <c r="C4" s="2"/>
      <c r="D4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536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5363" r:id="rId3" name="Следующий"/>
      </mc:Fallback>
    </mc:AlternateContent>
    <mc:AlternateContent xmlns:mc="http://schemas.openxmlformats.org/markup-compatibility/2006">
      <mc:Choice Requires="x14">
        <control shapeId="1536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2:D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95</v>
      </c>
    </row>
    <row r="4" spans="2:4" x14ac:dyDescent="0.25">
      <c r="B4" s="3" t="s">
        <v>96</v>
      </c>
      <c r="C4" s="3"/>
      <c r="D4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3315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3315" r:id="rId3" name="Следующий"/>
      </mc:Fallback>
    </mc:AlternateContent>
    <mc:AlternateContent xmlns:mc="http://schemas.openxmlformats.org/markup-compatibility/2006">
      <mc:Choice Requires="x14">
        <control shapeId="13313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0"/>
  <dimension ref="B2:D5"/>
  <sheetViews>
    <sheetView zoomScale="180" zoomScaleNormal="180" workbookViewId="0">
      <selection activeCell="C52" sqref="C52"/>
    </sheetView>
  </sheetViews>
  <sheetFormatPr defaultRowHeight="15" x14ac:dyDescent="0.25"/>
  <cols>
    <col min="1" max="3" width="11.140625" customWidth="1"/>
  </cols>
  <sheetData>
    <row r="2" spans="2:4" x14ac:dyDescent="0.25">
      <c r="B2" s="1" t="s">
        <v>97</v>
      </c>
    </row>
    <row r="4" spans="2:4" x14ac:dyDescent="0.25">
      <c r="B4" s="35" t="s">
        <v>98</v>
      </c>
      <c r="C4" s="35"/>
      <c r="D4" s="35"/>
    </row>
    <row r="5" spans="2:4" x14ac:dyDescent="0.25">
      <c r="B5" s="35"/>
      <c r="C5" s="35"/>
      <c r="D5" s="35"/>
    </row>
  </sheetData>
  <mergeCells count="1">
    <mergeCell ref="B4:D5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56323" r:id="rId3" name="Следующий">
          <controlPr defaultSize="0" autoLine="0" r:id="rId4">
            <anchor moveWithCells="1">
              <from>
                <xdr:col>0</xdr:col>
                <xdr:colOff>723900</xdr:colOff>
                <xdr:row>8</xdr:row>
                <xdr:rowOff>0</xdr:rowOff>
              </from>
              <to>
                <xdr:col>3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56323" r:id="rId3" name="Следующий"/>
      </mc:Fallback>
    </mc:AlternateContent>
    <mc:AlternateContent xmlns:mc="http://schemas.openxmlformats.org/markup-compatibility/2006">
      <mc:Choice Requires="x14">
        <control shapeId="56321" r:id="rId5" name="Option Button 1">
          <controlPr defaultSize="0" autoFill="0" autoLine="0" autoPict="0">
            <anchor moveWithCells="1">
              <from>
                <xdr:col>0</xdr:col>
                <xdr:colOff>714375</xdr:colOff>
                <xdr:row>5</xdr:row>
                <xdr:rowOff>0</xdr:rowOff>
              </from>
              <to>
                <xdr:col>1</xdr:col>
                <xdr:colOff>571500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22" r:id="rId6" name="Option Button 2">
          <controlPr defaultSize="0" autoFill="0" autoLine="0" autoPict="0">
            <anchor moveWithCells="1">
              <from>
                <xdr:col>0</xdr:col>
                <xdr:colOff>714375</xdr:colOff>
                <xdr:row>6</xdr:row>
                <xdr:rowOff>0</xdr:rowOff>
              </from>
              <to>
                <xdr:col>1</xdr:col>
                <xdr:colOff>571500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E4"/>
  <sheetViews>
    <sheetView zoomScale="180" zoomScaleNormal="180" workbookViewId="0">
      <selection activeCell="C49" sqref="C49"/>
    </sheetView>
  </sheetViews>
  <sheetFormatPr defaultRowHeight="15" x14ac:dyDescent="0.25"/>
  <cols>
    <col min="1" max="3" width="11.140625" customWidth="1"/>
  </cols>
  <sheetData>
    <row r="2" spans="2:5" x14ac:dyDescent="0.25">
      <c r="B2" s="1" t="s">
        <v>99</v>
      </c>
    </row>
    <row r="4" spans="2:5" x14ac:dyDescent="0.25">
      <c r="B4" s="37" t="s">
        <v>100</v>
      </c>
      <c r="C4" s="37"/>
      <c r="D4" s="37"/>
      <c r="E4" s="2"/>
    </row>
  </sheetData>
  <mergeCells count="1">
    <mergeCell ref="B4:D4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075" r:id="rId3" name="Следующий">
          <controlPr defaultSize="0" autoLine="0" autoPict="0" r:id="rId4">
            <anchor moveWithCells="1">
              <from>
                <xdr:col>0</xdr:col>
                <xdr:colOff>742950</xdr:colOff>
                <xdr:row>8</xdr:row>
                <xdr:rowOff>9525</xdr:rowOff>
              </from>
              <to>
                <xdr:col>4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3075" r:id="rId3" name="Следующий"/>
      </mc:Fallback>
    </mc:AlternateContent>
    <mc:AlternateContent xmlns:mc="http://schemas.openxmlformats.org/markup-compatibility/2006">
      <mc:Choice Requires="x14">
        <control shapeId="3073" r:id="rId5" name="Option Button 1">
          <controlPr defaultSize="0" autoFill="0" autoLine="0" autoPict="0">
            <anchor moveWithCells="1">
              <from>
                <xdr:col>0</xdr:col>
                <xdr:colOff>704850</xdr:colOff>
                <xdr:row>4</xdr:row>
                <xdr:rowOff>171450</xdr:rowOff>
              </from>
              <to>
                <xdr:col>1</xdr:col>
                <xdr:colOff>561975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6" name="Option Button 2">
          <controlPr defaultSize="0" autoFill="0" autoLine="0" autoPict="0">
            <anchor moveWithCells="1">
              <from>
                <xdr:col>0</xdr:col>
                <xdr:colOff>704850</xdr:colOff>
                <xdr:row>5</xdr:row>
                <xdr:rowOff>171450</xdr:rowOff>
              </from>
              <to>
                <xdr:col>1</xdr:col>
                <xdr:colOff>561975</xdr:colOff>
                <xdr:row>7</xdr:row>
                <xdr:rowOff>9525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62"/>
  <sheetViews>
    <sheetView zoomScale="110" zoomScaleNormal="110" workbookViewId="0">
      <selection activeCell="J94" sqref="J94"/>
    </sheetView>
  </sheetViews>
  <sheetFormatPr defaultRowHeight="15" x14ac:dyDescent="0.25"/>
  <cols>
    <col min="1" max="1" width="11.140625" customWidth="1"/>
    <col min="2" max="5" width="11.85546875" customWidth="1"/>
    <col min="6" max="8" width="23.7109375" customWidth="1"/>
  </cols>
  <sheetData>
    <row r="1" spans="1:9" ht="15.75" thickBot="1" x14ac:dyDescent="0.3"/>
    <row r="2" spans="1:9" ht="15.75" thickBot="1" x14ac:dyDescent="0.3">
      <c r="B2" s="45" t="s">
        <v>5</v>
      </c>
      <c r="C2" s="46"/>
      <c r="D2" s="47"/>
    </row>
    <row r="4" spans="1:9" ht="15" customHeight="1" x14ac:dyDescent="0.25">
      <c r="B4" s="70" t="s">
        <v>108</v>
      </c>
      <c r="C4" s="69"/>
      <c r="D4" s="71"/>
      <c r="E4" s="30"/>
      <c r="F4" s="75" t="s">
        <v>101</v>
      </c>
      <c r="G4" s="76" t="s">
        <v>102</v>
      </c>
      <c r="H4" s="77" t="s">
        <v>103</v>
      </c>
    </row>
    <row r="5" spans="1:9" x14ac:dyDescent="0.25">
      <c r="B5" s="72"/>
      <c r="C5" s="73"/>
      <c r="D5" s="74"/>
      <c r="F5" s="78" t="e">
        <f>F15*100%/I15</f>
        <v>#DIV/0!</v>
      </c>
      <c r="G5" s="79" t="e">
        <f>G15*100%/I15</f>
        <v>#DIV/0!</v>
      </c>
      <c r="H5" s="80" t="e">
        <f>H15*100%/I15</f>
        <v>#DIV/0!</v>
      </c>
    </row>
    <row r="7" spans="1:9" x14ac:dyDescent="0.25">
      <c r="E7" s="6"/>
      <c r="F7" s="6"/>
    </row>
    <row r="13" spans="1:9" ht="15.75" thickBot="1" x14ac:dyDescent="0.3"/>
    <row r="14" spans="1:9" ht="31.5" customHeight="1" x14ac:dyDescent="0.25">
      <c r="A14" s="7" t="s">
        <v>6</v>
      </c>
      <c r="B14" s="8" t="s">
        <v>7</v>
      </c>
      <c r="C14" s="9" t="s">
        <v>8</v>
      </c>
      <c r="D14" s="10" t="s">
        <v>9</v>
      </c>
      <c r="F14" s="39" t="s">
        <v>104</v>
      </c>
      <c r="G14" s="40"/>
      <c r="H14" s="41"/>
      <c r="I14" s="48" t="s">
        <v>105</v>
      </c>
    </row>
    <row r="15" spans="1:9" s="14" customFormat="1" x14ac:dyDescent="0.25">
      <c r="A15" s="11">
        <v>1</v>
      </c>
      <c r="B15" s="12">
        <v>1</v>
      </c>
      <c r="C15" s="12">
        <f>'Вопрос 1'!H1</f>
        <v>0</v>
      </c>
      <c r="D15" s="13">
        <f>IF(B15=C15,1,0)</f>
        <v>0</v>
      </c>
      <c r="F15" s="42">
        <f>SUM(D15,D19,D22,D24,D26,D28,D33,D35,D37,D41,D45,D46,D53,D54,D56,D59)</f>
        <v>0</v>
      </c>
      <c r="G15" s="43">
        <f>SUM(D16,D20,D21,D27,D29,D31,D34,D38,D40,D47,D48,D50,D51,D57,D60,D62)</f>
        <v>0</v>
      </c>
      <c r="H15" s="44">
        <f>SUM(D17,D18,D23,D25,D31,D32,D36,D39,D42,D43,D44,D49,D52,D55,D58,D61)</f>
        <v>0</v>
      </c>
      <c r="I15" s="12">
        <f>SUM(F15:H15)</f>
        <v>0</v>
      </c>
    </row>
    <row r="16" spans="1:9" s="17" customFormat="1" x14ac:dyDescent="0.25">
      <c r="A16" s="19">
        <v>2</v>
      </c>
      <c r="B16" s="20">
        <v>1</v>
      </c>
      <c r="C16" s="21">
        <f>'Вопрос 2'!H1</f>
        <v>0</v>
      </c>
      <c r="D16" s="22">
        <f t="shared" ref="D16:D62" si="0">IF(B16=C16,1,0)</f>
        <v>0</v>
      </c>
    </row>
    <row r="17" spans="1:8" s="18" customFormat="1" x14ac:dyDescent="0.25">
      <c r="A17" s="25">
        <v>3</v>
      </c>
      <c r="B17" s="26">
        <v>1</v>
      </c>
      <c r="C17" s="26">
        <f>'Вопрос 3'!H1</f>
        <v>0</v>
      </c>
      <c r="D17" s="27">
        <f t="shared" si="0"/>
        <v>0</v>
      </c>
      <c r="F17" s="16"/>
      <c r="G17" s="16"/>
      <c r="H17" s="16"/>
    </row>
    <row r="18" spans="1:8" s="18" customFormat="1" x14ac:dyDescent="0.25">
      <c r="A18" s="25">
        <v>4</v>
      </c>
      <c r="B18" s="26">
        <v>1</v>
      </c>
      <c r="C18" s="26">
        <f>'Вопрос 4'!H1</f>
        <v>0</v>
      </c>
      <c r="D18" s="27">
        <f t="shared" si="0"/>
        <v>0</v>
      </c>
    </row>
    <row r="19" spans="1:8" s="14" customFormat="1" x14ac:dyDescent="0.25">
      <c r="A19" s="11">
        <v>5</v>
      </c>
      <c r="B19" s="12">
        <v>1</v>
      </c>
      <c r="C19" s="15">
        <f>'Вопрос 5'!H1</f>
        <v>0</v>
      </c>
      <c r="D19" s="13">
        <f t="shared" si="0"/>
        <v>0</v>
      </c>
    </row>
    <row r="20" spans="1:8" s="17" customFormat="1" x14ac:dyDescent="0.25">
      <c r="A20" s="19">
        <v>6</v>
      </c>
      <c r="B20" s="20">
        <v>1</v>
      </c>
      <c r="C20" s="20">
        <f>'Вопрос 6'!H1</f>
        <v>0</v>
      </c>
      <c r="D20" s="22">
        <f t="shared" si="0"/>
        <v>0</v>
      </c>
    </row>
    <row r="21" spans="1:8" s="17" customFormat="1" x14ac:dyDescent="0.25">
      <c r="A21" s="19">
        <v>7</v>
      </c>
      <c r="B21" s="20">
        <v>1</v>
      </c>
      <c r="C21" s="20">
        <f>'Вопрос 7'!H1</f>
        <v>0</v>
      </c>
      <c r="D21" s="22">
        <f t="shared" si="0"/>
        <v>0</v>
      </c>
    </row>
    <row r="22" spans="1:8" s="14" customFormat="1" x14ac:dyDescent="0.25">
      <c r="A22" s="11">
        <v>8</v>
      </c>
      <c r="B22" s="12">
        <v>1</v>
      </c>
      <c r="C22" s="15">
        <f>'Вопрос 8'!H1</f>
        <v>0</v>
      </c>
      <c r="D22" s="13">
        <f t="shared" si="0"/>
        <v>0</v>
      </c>
    </row>
    <row r="23" spans="1:8" s="18" customFormat="1" x14ac:dyDescent="0.25">
      <c r="A23" s="25">
        <v>9</v>
      </c>
      <c r="B23" s="26">
        <v>1</v>
      </c>
      <c r="C23" s="26">
        <f>'Вопрос 9'!H1</f>
        <v>0</v>
      </c>
      <c r="D23" s="27">
        <f t="shared" si="0"/>
        <v>0</v>
      </c>
    </row>
    <row r="24" spans="1:8" s="14" customFormat="1" x14ac:dyDescent="0.25">
      <c r="A24" s="11">
        <v>10</v>
      </c>
      <c r="B24" s="12">
        <v>1</v>
      </c>
      <c r="C24" s="12">
        <f>'Вопрос 10'!H1</f>
        <v>0</v>
      </c>
      <c r="D24" s="13">
        <f t="shared" si="0"/>
        <v>0</v>
      </c>
    </row>
    <row r="25" spans="1:8" s="18" customFormat="1" x14ac:dyDescent="0.25">
      <c r="A25" s="25">
        <v>11</v>
      </c>
      <c r="B25" s="26">
        <v>1</v>
      </c>
      <c r="C25" s="26">
        <f>'Вопрос 11'!H1</f>
        <v>0</v>
      </c>
      <c r="D25" s="27">
        <f t="shared" si="0"/>
        <v>0</v>
      </c>
    </row>
    <row r="26" spans="1:8" s="14" customFormat="1" x14ac:dyDescent="0.25">
      <c r="A26" s="11">
        <v>12</v>
      </c>
      <c r="B26" s="12">
        <v>1</v>
      </c>
      <c r="C26" s="12">
        <f>'Вопрос 12'!H1</f>
        <v>0</v>
      </c>
      <c r="D26" s="13">
        <f t="shared" si="0"/>
        <v>0</v>
      </c>
    </row>
    <row r="27" spans="1:8" s="17" customFormat="1" x14ac:dyDescent="0.25">
      <c r="A27" s="19">
        <v>13</v>
      </c>
      <c r="B27" s="20">
        <v>1</v>
      </c>
      <c r="C27" s="20">
        <f>'Вопрос 13'!H1</f>
        <v>0</v>
      </c>
      <c r="D27" s="22">
        <f t="shared" si="0"/>
        <v>0</v>
      </c>
    </row>
    <row r="28" spans="1:8" s="14" customFormat="1" x14ac:dyDescent="0.25">
      <c r="A28" s="11">
        <v>14</v>
      </c>
      <c r="B28" s="12">
        <v>1</v>
      </c>
      <c r="C28" s="12">
        <f>'Вопрос 14'!H1</f>
        <v>0</v>
      </c>
      <c r="D28" s="13">
        <f t="shared" si="0"/>
        <v>0</v>
      </c>
    </row>
    <row r="29" spans="1:8" s="17" customFormat="1" x14ac:dyDescent="0.25">
      <c r="A29" s="19">
        <v>15</v>
      </c>
      <c r="B29" s="20">
        <v>1</v>
      </c>
      <c r="C29" s="20">
        <f>'Вопрос 15'!H1</f>
        <v>0</v>
      </c>
      <c r="D29" s="22">
        <f t="shared" si="0"/>
        <v>0</v>
      </c>
    </row>
    <row r="30" spans="1:8" s="18" customFormat="1" x14ac:dyDescent="0.25">
      <c r="A30" s="25">
        <v>16</v>
      </c>
      <c r="B30" s="26">
        <v>1</v>
      </c>
      <c r="C30" s="26">
        <f>'Вопрос 16'!H1</f>
        <v>0</v>
      </c>
      <c r="D30" s="27">
        <f t="shared" si="0"/>
        <v>0</v>
      </c>
    </row>
    <row r="31" spans="1:8" s="17" customFormat="1" x14ac:dyDescent="0.25">
      <c r="A31" s="19">
        <v>17</v>
      </c>
      <c r="B31" s="20">
        <v>1</v>
      </c>
      <c r="C31" s="20">
        <f>'Вопрос 17'!H1</f>
        <v>0</v>
      </c>
      <c r="D31" s="22">
        <f t="shared" si="0"/>
        <v>0</v>
      </c>
    </row>
    <row r="32" spans="1:8" s="18" customFormat="1" x14ac:dyDescent="0.25">
      <c r="A32" s="25">
        <v>18</v>
      </c>
      <c r="B32" s="26">
        <v>1</v>
      </c>
      <c r="C32" s="26">
        <f>'Вопрос 18'!H1</f>
        <v>0</v>
      </c>
      <c r="D32" s="27">
        <f t="shared" si="0"/>
        <v>0</v>
      </c>
    </row>
    <row r="33" spans="1:4" s="14" customFormat="1" x14ac:dyDescent="0.25">
      <c r="A33" s="11">
        <v>19</v>
      </c>
      <c r="B33" s="12">
        <v>1</v>
      </c>
      <c r="C33" s="12">
        <f>'Вопрос 19'!H1</f>
        <v>0</v>
      </c>
      <c r="D33" s="13">
        <f t="shared" si="0"/>
        <v>0</v>
      </c>
    </row>
    <row r="34" spans="1:4" s="17" customFormat="1" x14ac:dyDescent="0.25">
      <c r="A34" s="19">
        <v>20</v>
      </c>
      <c r="B34" s="20">
        <v>1</v>
      </c>
      <c r="C34" s="20">
        <f>'Вопрос 20'!H1</f>
        <v>0</v>
      </c>
      <c r="D34" s="22">
        <f t="shared" si="0"/>
        <v>0</v>
      </c>
    </row>
    <row r="35" spans="1:4" s="14" customFormat="1" x14ac:dyDescent="0.25">
      <c r="A35" s="11">
        <v>21</v>
      </c>
      <c r="B35" s="12">
        <v>1</v>
      </c>
      <c r="C35" s="12">
        <f>'Вопрос 21'!H1</f>
        <v>0</v>
      </c>
      <c r="D35" s="13">
        <f t="shared" si="0"/>
        <v>0</v>
      </c>
    </row>
    <row r="36" spans="1:4" s="18" customFormat="1" x14ac:dyDescent="0.25">
      <c r="A36" s="25">
        <v>22</v>
      </c>
      <c r="B36" s="26">
        <v>1</v>
      </c>
      <c r="C36" s="26">
        <f>'Вопрос 22'!H1</f>
        <v>0</v>
      </c>
      <c r="D36" s="27">
        <f t="shared" si="0"/>
        <v>0</v>
      </c>
    </row>
    <row r="37" spans="1:4" s="14" customFormat="1" x14ac:dyDescent="0.25">
      <c r="A37" s="11">
        <v>23</v>
      </c>
      <c r="B37" s="12">
        <v>1</v>
      </c>
      <c r="C37" s="12">
        <f>'Вопрос 23'!H1</f>
        <v>0</v>
      </c>
      <c r="D37" s="13">
        <f t="shared" si="0"/>
        <v>0</v>
      </c>
    </row>
    <row r="38" spans="1:4" s="17" customFormat="1" x14ac:dyDescent="0.25">
      <c r="A38" s="19">
        <v>24</v>
      </c>
      <c r="B38" s="20">
        <v>1</v>
      </c>
      <c r="C38" s="20">
        <f>'Вопрос 24'!H1</f>
        <v>0</v>
      </c>
      <c r="D38" s="22">
        <f t="shared" si="0"/>
        <v>0</v>
      </c>
    </row>
    <row r="39" spans="1:4" s="18" customFormat="1" x14ac:dyDescent="0.25">
      <c r="A39" s="25">
        <v>25</v>
      </c>
      <c r="B39" s="26">
        <v>1</v>
      </c>
      <c r="C39" s="26">
        <f>'Вопрос 25'!H1</f>
        <v>0</v>
      </c>
      <c r="D39" s="27">
        <f t="shared" si="0"/>
        <v>0</v>
      </c>
    </row>
    <row r="40" spans="1:4" s="17" customFormat="1" x14ac:dyDescent="0.25">
      <c r="A40" s="19">
        <v>26</v>
      </c>
      <c r="B40" s="20">
        <v>1</v>
      </c>
      <c r="C40" s="20">
        <f>'Вопрос 26'!H1</f>
        <v>0</v>
      </c>
      <c r="D40" s="22">
        <f t="shared" si="0"/>
        <v>0</v>
      </c>
    </row>
    <row r="41" spans="1:4" s="14" customFormat="1" x14ac:dyDescent="0.25">
      <c r="A41" s="11">
        <v>27</v>
      </c>
      <c r="B41" s="12">
        <v>1</v>
      </c>
      <c r="C41" s="12">
        <f>'Вопрос 27'!H1</f>
        <v>0</v>
      </c>
      <c r="D41" s="13">
        <f t="shared" si="0"/>
        <v>0</v>
      </c>
    </row>
    <row r="42" spans="1:4" s="18" customFormat="1" x14ac:dyDescent="0.25">
      <c r="A42" s="25">
        <v>28</v>
      </c>
      <c r="B42" s="26">
        <v>1</v>
      </c>
      <c r="C42" s="26">
        <f>'Вопрос 28'!H1</f>
        <v>0</v>
      </c>
      <c r="D42" s="27">
        <f t="shared" si="0"/>
        <v>0</v>
      </c>
    </row>
    <row r="43" spans="1:4" s="18" customFormat="1" x14ac:dyDescent="0.25">
      <c r="A43" s="25">
        <v>29</v>
      </c>
      <c r="B43" s="26">
        <v>1</v>
      </c>
      <c r="C43" s="26">
        <f>'Вопрос 29'!H1</f>
        <v>0</v>
      </c>
      <c r="D43" s="27">
        <f t="shared" si="0"/>
        <v>0</v>
      </c>
    </row>
    <row r="44" spans="1:4" s="18" customFormat="1" x14ac:dyDescent="0.25">
      <c r="A44" s="25">
        <v>30</v>
      </c>
      <c r="B44" s="26">
        <v>1</v>
      </c>
      <c r="C44" s="26">
        <f>'Вопрос 30'!H1</f>
        <v>0</v>
      </c>
      <c r="D44" s="27">
        <f t="shared" si="0"/>
        <v>0</v>
      </c>
    </row>
    <row r="45" spans="1:4" s="14" customFormat="1" x14ac:dyDescent="0.25">
      <c r="A45" s="11">
        <v>31</v>
      </c>
      <c r="B45" s="12">
        <v>1</v>
      </c>
      <c r="C45" s="12">
        <f>'Вопрос 31'!H1</f>
        <v>0</v>
      </c>
      <c r="D45" s="13">
        <f t="shared" si="0"/>
        <v>0</v>
      </c>
    </row>
    <row r="46" spans="1:4" s="14" customFormat="1" x14ac:dyDescent="0.25">
      <c r="A46" s="11">
        <v>32</v>
      </c>
      <c r="B46" s="12">
        <v>1</v>
      </c>
      <c r="C46" s="12">
        <f>'Вопрос 32'!H1</f>
        <v>0</v>
      </c>
      <c r="D46" s="13">
        <f t="shared" si="0"/>
        <v>0</v>
      </c>
    </row>
    <row r="47" spans="1:4" s="17" customFormat="1" x14ac:dyDescent="0.25">
      <c r="A47" s="19">
        <v>33</v>
      </c>
      <c r="B47" s="20">
        <v>1</v>
      </c>
      <c r="C47" s="20">
        <f>'Вопрос 33'!H1</f>
        <v>0</v>
      </c>
      <c r="D47" s="22">
        <f t="shared" si="0"/>
        <v>0</v>
      </c>
    </row>
    <row r="48" spans="1:4" s="17" customFormat="1" x14ac:dyDescent="0.25">
      <c r="A48" s="19">
        <v>34</v>
      </c>
      <c r="B48" s="20">
        <v>1</v>
      </c>
      <c r="C48" s="20">
        <f>'Вопрос 34'!H1</f>
        <v>0</v>
      </c>
      <c r="D48" s="22">
        <f t="shared" si="0"/>
        <v>0</v>
      </c>
    </row>
    <row r="49" spans="1:4" s="18" customFormat="1" x14ac:dyDescent="0.25">
      <c r="A49" s="25">
        <v>35</v>
      </c>
      <c r="B49" s="26">
        <v>1</v>
      </c>
      <c r="C49" s="26">
        <f>'Вопрос 35'!H1</f>
        <v>0</v>
      </c>
      <c r="D49" s="27">
        <f t="shared" si="0"/>
        <v>0</v>
      </c>
    </row>
    <row r="50" spans="1:4" s="17" customFormat="1" x14ac:dyDescent="0.25">
      <c r="A50" s="19">
        <v>36</v>
      </c>
      <c r="B50" s="20">
        <v>1</v>
      </c>
      <c r="C50" s="20">
        <f>'Вопрос 36'!H1</f>
        <v>0</v>
      </c>
      <c r="D50" s="22">
        <f t="shared" si="0"/>
        <v>0</v>
      </c>
    </row>
    <row r="51" spans="1:4" s="17" customFormat="1" x14ac:dyDescent="0.25">
      <c r="A51" s="19">
        <v>37</v>
      </c>
      <c r="B51" s="20">
        <v>1</v>
      </c>
      <c r="C51" s="20">
        <f>'Вопрос 37'!H1</f>
        <v>0</v>
      </c>
      <c r="D51" s="22">
        <f t="shared" si="0"/>
        <v>0</v>
      </c>
    </row>
    <row r="52" spans="1:4" s="18" customFormat="1" x14ac:dyDescent="0.25">
      <c r="A52" s="25">
        <v>38</v>
      </c>
      <c r="B52" s="26">
        <v>1</v>
      </c>
      <c r="C52" s="26">
        <f>'Вопрос 38'!H1</f>
        <v>0</v>
      </c>
      <c r="D52" s="27">
        <f t="shared" si="0"/>
        <v>0</v>
      </c>
    </row>
    <row r="53" spans="1:4" s="14" customFormat="1" x14ac:dyDescent="0.25">
      <c r="A53" s="11">
        <v>39</v>
      </c>
      <c r="B53" s="12">
        <v>1</v>
      </c>
      <c r="C53" s="12">
        <f>'Вопрос 39'!H1</f>
        <v>0</v>
      </c>
      <c r="D53" s="13">
        <f t="shared" si="0"/>
        <v>0</v>
      </c>
    </row>
    <row r="54" spans="1:4" s="14" customFormat="1" x14ac:dyDescent="0.25">
      <c r="A54" s="11">
        <v>40</v>
      </c>
      <c r="B54" s="12">
        <v>1</v>
      </c>
      <c r="C54" s="12">
        <f>'Вопрос 40'!H1</f>
        <v>0</v>
      </c>
      <c r="D54" s="13">
        <f t="shared" si="0"/>
        <v>0</v>
      </c>
    </row>
    <row r="55" spans="1:4" s="18" customFormat="1" x14ac:dyDescent="0.25">
      <c r="A55" s="25">
        <v>41</v>
      </c>
      <c r="B55" s="26">
        <v>1</v>
      </c>
      <c r="C55" s="26">
        <f>'Вопрос 41'!H1</f>
        <v>0</v>
      </c>
      <c r="D55" s="27">
        <f t="shared" si="0"/>
        <v>0</v>
      </c>
    </row>
    <row r="56" spans="1:4" s="14" customFormat="1" x14ac:dyDescent="0.25">
      <c r="A56" s="11">
        <v>42</v>
      </c>
      <c r="B56" s="12">
        <v>1</v>
      </c>
      <c r="C56" s="12">
        <f>'Вопрос 42'!H1</f>
        <v>0</v>
      </c>
      <c r="D56" s="13">
        <f t="shared" si="0"/>
        <v>0</v>
      </c>
    </row>
    <row r="57" spans="1:4" s="17" customFormat="1" x14ac:dyDescent="0.25">
      <c r="A57" s="19">
        <v>43</v>
      </c>
      <c r="B57" s="20">
        <v>1</v>
      </c>
      <c r="C57" s="20">
        <f>'Вопрос 43'!H1</f>
        <v>0</v>
      </c>
      <c r="D57" s="22">
        <f t="shared" si="0"/>
        <v>0</v>
      </c>
    </row>
    <row r="58" spans="1:4" s="18" customFormat="1" x14ac:dyDescent="0.25">
      <c r="A58" s="25">
        <v>44</v>
      </c>
      <c r="B58" s="26">
        <v>1</v>
      </c>
      <c r="C58" s="26">
        <f>'Вопрос 44'!H1</f>
        <v>0</v>
      </c>
      <c r="D58" s="27">
        <f t="shared" si="0"/>
        <v>0</v>
      </c>
    </row>
    <row r="59" spans="1:4" s="14" customFormat="1" x14ac:dyDescent="0.25">
      <c r="A59" s="11">
        <v>45</v>
      </c>
      <c r="B59" s="12">
        <v>1</v>
      </c>
      <c r="C59" s="12">
        <f>'Вопрос 45'!H1</f>
        <v>0</v>
      </c>
      <c r="D59" s="13">
        <f t="shared" si="0"/>
        <v>0</v>
      </c>
    </row>
    <row r="60" spans="1:4" s="17" customFormat="1" x14ac:dyDescent="0.25">
      <c r="A60" s="19">
        <v>46</v>
      </c>
      <c r="B60" s="20">
        <v>1</v>
      </c>
      <c r="C60" s="20">
        <f>'Вопрос 46'!H1</f>
        <v>0</v>
      </c>
      <c r="D60" s="22">
        <f t="shared" si="0"/>
        <v>0</v>
      </c>
    </row>
    <row r="61" spans="1:4" s="18" customFormat="1" x14ac:dyDescent="0.25">
      <c r="A61" s="25">
        <v>47</v>
      </c>
      <c r="B61" s="26">
        <v>1</v>
      </c>
      <c r="C61" s="26">
        <f>'Вопрос 47'!H1</f>
        <v>0</v>
      </c>
      <c r="D61" s="29">
        <f t="shared" si="0"/>
        <v>0</v>
      </c>
    </row>
    <row r="62" spans="1:4" s="17" customFormat="1" ht="15.75" thickBot="1" x14ac:dyDescent="0.3">
      <c r="A62" s="23">
        <v>48</v>
      </c>
      <c r="B62" s="24">
        <v>1</v>
      </c>
      <c r="C62" s="28">
        <f>'Вопрос 48'!H1</f>
        <v>0</v>
      </c>
      <c r="D62" s="24">
        <f t="shared" si="0"/>
        <v>0</v>
      </c>
    </row>
  </sheetData>
  <mergeCells count="3">
    <mergeCell ref="B2:D2"/>
    <mergeCell ref="F14:H14"/>
    <mergeCell ref="B4:D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50</vt:i4>
      </vt:variant>
    </vt:vector>
  </HeadingPairs>
  <TitlesOfParts>
    <vt:vector size="50" baseType="lpstr">
      <vt:lpstr>Начало</vt:lpstr>
      <vt:lpstr>Вопрос 1</vt:lpstr>
      <vt:lpstr>Вопрос 2</vt:lpstr>
      <vt:lpstr>Вопрос 3</vt:lpstr>
      <vt:lpstr>Вопрос 4</vt:lpstr>
      <vt:lpstr>Вопрос 5</vt:lpstr>
      <vt:lpstr>Вопрос 6</vt:lpstr>
      <vt:lpstr>Вопрос 7</vt:lpstr>
      <vt:lpstr>Вопрос 8</vt:lpstr>
      <vt:lpstr>Вопрос 9</vt:lpstr>
      <vt:lpstr>Вопрос 10</vt:lpstr>
      <vt:lpstr>Вопрос 11</vt:lpstr>
      <vt:lpstr>Вопрос 12</vt:lpstr>
      <vt:lpstr>Вопрос 13</vt:lpstr>
      <vt:lpstr>Вопрос 14</vt:lpstr>
      <vt:lpstr>Вопрос 15</vt:lpstr>
      <vt:lpstr>Вопрос 16</vt:lpstr>
      <vt:lpstr>Вопрос 17</vt:lpstr>
      <vt:lpstr>Вопрос 18</vt:lpstr>
      <vt:lpstr>Вопрос 19</vt:lpstr>
      <vt:lpstr>Вопрос 20</vt:lpstr>
      <vt:lpstr>Вопрос 21</vt:lpstr>
      <vt:lpstr>Вопрос 22</vt:lpstr>
      <vt:lpstr>Вопрос 23</vt:lpstr>
      <vt:lpstr>Вопрос 24</vt:lpstr>
      <vt:lpstr>Вопрос 25</vt:lpstr>
      <vt:lpstr>Вопрос 26</vt:lpstr>
      <vt:lpstr>Вопрос 27</vt:lpstr>
      <vt:lpstr>Вопрос 28</vt:lpstr>
      <vt:lpstr>Вопрос 29</vt:lpstr>
      <vt:lpstr>Вопрос 30</vt:lpstr>
      <vt:lpstr>Вопрос 31</vt:lpstr>
      <vt:lpstr>Вопрос 32</vt:lpstr>
      <vt:lpstr>Вопрос 33</vt:lpstr>
      <vt:lpstr>Вопрос 34</vt:lpstr>
      <vt:lpstr>Вопрос 35</vt:lpstr>
      <vt:lpstr>Вопрос 36</vt:lpstr>
      <vt:lpstr>Вопрос 37</vt:lpstr>
      <vt:lpstr>Вопрос 38</vt:lpstr>
      <vt:lpstr>Вопрос 39</vt:lpstr>
      <vt:lpstr>Вопрос 40</vt:lpstr>
      <vt:lpstr>Вопрос 41</vt:lpstr>
      <vt:lpstr>Вопрос 42</vt:lpstr>
      <vt:lpstr>Вопрос 43</vt:lpstr>
      <vt:lpstr>Вопрос 44</vt:lpstr>
      <vt:lpstr>Вопрос 45</vt:lpstr>
      <vt:lpstr>Вопрос 46</vt:lpstr>
      <vt:lpstr>Вопрос 47</vt:lpstr>
      <vt:lpstr>Вопрос 48</vt:lpstr>
      <vt:lpstr>Результаты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2019-11-26T14:47:17Z</dcterms:modified>
</cp:coreProperties>
</file>